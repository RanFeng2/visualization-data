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丰丰同学\Desktop\co2sys_ver25b06\"/>
    </mc:Choice>
  </mc:AlternateContent>
  <xr:revisionPtr revIDLastSave="0" documentId="13_ncr:1_{ABA1067D-2534-49A5-BF0D-77CBEE63DD3A}" xr6:coauthVersionLast="47" xr6:coauthVersionMax="47" xr10:uidLastSave="{00000000-0000-0000-0000-000000000000}"/>
  <bookViews>
    <workbookView xWindow="-108" yWindow="-108" windowWidth="22152" windowHeight="13176" tabRatio="906" activeTab="1" xr2:uid="{00000000-000D-0000-FFFF-FFFF00000000}"/>
  </bookViews>
  <sheets>
    <sheet name="readme" sheetId="1" r:id="rId1"/>
    <sheet name="co2sys" sheetId="2" r:id="rId2"/>
    <sheet name="defaults" sheetId="3" r:id="rId3"/>
    <sheet name="WhichKs list" sheetId="4" state="hidden" r:id="rId4"/>
  </sheets>
  <functionGroups builtInGroupCount="19"/>
  <definedNames>
    <definedName name="_xlnm.Print_Titles" localSheetId="1">co2sys!$1:$9</definedName>
    <definedName name="WhichKsList">'WhichKs list'!$A$1:$A$16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899" i="1" l="1"/>
  <c r="B113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Gregory Pelletier</author>
    <author>gpel461</author>
    <author>State of Washington</author>
    <author>Greg Pelletier</author>
  </authors>
  <commentList>
    <comment ref="C3" authorId="0" shapeId="0" xr:uid="{00000000-0006-0000-0100-000001000000}">
      <text>
        <r>
          <rPr>
            <sz val="8"/>
            <color indexed="8"/>
            <rFont val="Tahoma"/>
            <family val="2"/>
          </rPr>
          <t xml:space="preserve">The original CO2SYS program had these options:
1) K1, K2 from Roy, et al, 1993
2) K1, K2 from Goyet and Poisson, 1989
3) K1, K2 from Hansson, 1973 refit by Dickson and Millero, 1987
4) K1, K2 from Mehrbach et al, 1973 refit by Dickson and Millero, 1987
5) K1, K2 from Hansson and Mehrbach refit by Dickson and Millero, 1987
6) GEOSECS constants (NBS scale); K1, K2 from Mehrbach et al, 1973
7) Constants from Peng et al (NBS scale); K1, K2 from Mehrbach et al
8) Salinity = 0 (freshwater); K1, K2 from Millero 1979
The following options were added for this Excel version of CO2SYS for estimation of K1 and K2:
9) Cai and Wang 1998. Limnol. Oceanogr. 43(4) (1998) 657-668. 
For estuarine waters (for S=0-40psu, T=0.2-35C.)
10) Millero et al 2006. Marine Chemistry 100(2006)80-94. Valid for S = 0 to 50 psu, T = 0 to 50 deg C for most estuarine and marine waters.
11) Lueker et al 2000. Marine Chemsitry 70(2000)105-119. 
</t>
        </r>
        <r>
          <rPr>
            <b/>
            <sz val="8"/>
            <color indexed="8"/>
            <rFont val="Tahoma"/>
            <family val="2"/>
          </rPr>
          <t>Recommended by European Project on Ocean Acidification (EPOCA)</t>
        </r>
        <r>
          <rPr>
            <sz val="8"/>
            <color indexed="8"/>
            <rFont val="Tahoma"/>
            <family val="2"/>
          </rPr>
          <t xml:space="preserve"> (http://www.bioacid.de/upload/bellerby_co2sys_oa_workshop.pdf)
12) Mojica Prieto and Millero 2002. Geochim. et Cosmochim. Acta. 66(14) 2529-2540.
13) Millero et al 2002. Deep-Sea Res. I (49) 1705-1723.
14) Millero. 2010a. Carbonate constant for estuarine waters. Marine and Freshwater Research 61: 139-142. 
Orr et al (2015) recommend not using Millero 2010 because of inconsistencies
15) Millero. 2010b. Carbonate constant for estuarine waters. Marine and Freshwater Research 61: 139-142. 
This option is the same as Millero 2010a except it uses a value of a5 = -3.3738 for K2 from Millero's unpublished spreadsheet, which has an additional significant figure. 
Orr et al (2015) recommend not using Millero 2010 because of inconsistencies
16) Waters et al 2014. Seawater pH scale coefficients for K1 and K2 
J. Waters, F.J. Millero, and R.J. Woosley. 2014. 
Corrigendum to "The free proton concentration scale for seawater pH"
[MARCHE: 149 (2013) 8-22]
Marine Chemistry 165 (2014) 66-67.
Correction and additional significant digits for the same data set compiled by Millero (2010). Dr. James Orr (pers. comm 3/23/2015) suggests that although this publication was intended to address inconstencies in Millero (2010), some inconsistencies still exist comparing results of coefficients for K1 and K2 for different scales. In theory the coefficients for different scales should all give the same result when converted back to a common scale, but there are differences of up to about 0.015 which can lead to substantial differences in computed values. If Waters et al (2014) is used, Orr suggests using the seawater scale coefficients because the measurments by Waters et al (Millero) were on the seawater scale and are least prone to error from data transformations. CO2SYS converts all results to the chosen pH scale, therefore Waters et al (2015) seawater scale coefficients may be used with any chosen pH scale.
NOTE:
For 6), 7), and 9) the original reference pH scale is NBS. In each case the constants are converted to the chosen pH scale. </t>
        </r>
      </text>
    </comment>
    <comment ref="F3" authorId="0" shapeId="0" xr:uid="{00000000-0006-0000-0100-000002000000}">
      <text>
        <r>
          <rPr>
            <sz val="8"/>
            <color indexed="8"/>
            <rFont val="Tahoma"/>
            <family val="2"/>
          </rPr>
          <t xml:space="preserve">Select either of the following two choices for input and output from this pop-up list:
1) fCO2, the fugacity of CO2
2) pCO2, the partial pressure of CO2
The fugacity of CO2 (fCO2) in water is defined to be the fugacity of CO2 in wet (100% water-saturated) air which is in equilibrium with the water. pCO2, the partial pressure of CO2, is defined to be the product of the mole fraction of CO2 in WET air and the total pressure. This is the same as the product of the the mole fraction of CO2 in DRY air (xCO2(dry)) and (pTot - pH2O), where pH2O is the vapor pressure of water above seawater. At pressures of order 1 atm fCO2 in air is about .3% lower than the pCO2 due to the non-ideality of CO2 (see Weiss, Marine Chemistry 2:203-215, 1974). This program assumes a pressure near 1 atm (where most equilibrators function) for the conversion between partial pressure and fugacity.  fCO2 is related to TC and pH by the following equation: 
            [CO2*]     TC                    H*H          
fCO2 =  ------  =  --    *    ------------------------- 
                K0         K0        H*H + K1*H + K1*K2 
where [CO2*] is the concentration of dissolved CO2, K0 is the solubility coefficient of CO2 in seawater, and K1 and K2 are the first and second dissociation constants for carbonic acid in seawater.
Units for fCO2 and pCO2 in this program are uatm (micro-atmospheres). The value of xCO2(dry) given in this program assumes pTot = 1 atmosphere.
</t>
        </r>
      </text>
    </comment>
    <comment ref="J3" authorId="0" shapeId="0" xr:uid="{00000000-0006-0000-0100-000003000000}">
      <text>
        <r>
          <rPr>
            <sz val="8"/>
            <color indexed="8"/>
            <rFont val="Tahoma"/>
            <family val="2"/>
          </rPr>
          <t xml:space="preserve">Select either of the following six choices from this pop-up list:
</t>
        </r>
        <r>
          <rPr>
            <sz val="8"/>
            <color indexed="8"/>
            <rFont val="Courier New"/>
            <family val="3"/>
          </rPr>
          <t xml:space="preserve">   GIVEN                              CALCULATE
1) TA, TC                            pH, fCO2 or pCO2 
2) TA, pH                           TC, fCO2 pr pCO2
3) TA, fCO2 or pCO2    TC, pH
4) TC, pH                           TA, fCO2 or pCO2
5) TC, fCO2 or pCO2    TA, pH
6) pH, fCO2 pr pCO2     TA, TC
</t>
        </r>
        <r>
          <rPr>
            <sz val="8"/>
            <color indexed="8"/>
            <rFont val="Tahoma"/>
            <family val="2"/>
          </rPr>
          <t xml:space="preserve">
where
TA = total alkalinity (umol/kg-SW)
TC = total inorganic carbon (umol/kg-SW)
pH = pH on the scale specified in cell F4
fCO2 or pCO2 = fugacity of CO2 (fCO2) or partial pressure of CO2 (pCO2) in air which is in equlibrium with the sample (uatm). Either fCO2 or pCO2 may be used depending on the selection in cell F3.
</t>
        </r>
      </text>
    </comment>
    <comment ref="L3" authorId="0" shapeId="0" xr:uid="{00000000-0006-0000-0100-000004000000}">
      <text>
        <r>
          <rPr>
            <sz val="8"/>
            <color indexed="8"/>
            <rFont val="Tahoma"/>
            <family val="2"/>
          </rPr>
          <t xml:space="preserve">Select either of the following two choices for calculation of total boron from salinity (Uppstrom 1974 is recommended by Orr et al 2014. Current formulas for K1 and K2 are based on Uppstrom 1974):
</t>
        </r>
        <r>
          <rPr>
            <b/>
            <sz val="8"/>
            <color indexed="8"/>
            <rFont val="Tahoma"/>
            <family val="2"/>
          </rPr>
          <t>Uppstrom 1974</t>
        </r>
        <r>
          <rPr>
            <sz val="8"/>
            <color indexed="8"/>
            <rFont val="Tahoma"/>
            <family val="2"/>
          </rPr>
          <t xml:space="preserve">: Uppström, L. R. 1974. The Boron/Chlorinity Ratio of Deep-Sea Water from the Pacific Ocean, in: Deep-Sea Research and Oceanographic Abstracts, 21, 161–162, Elsevier, 1974. 5336, 5337, 5345, 5390
</t>
        </r>
        <r>
          <rPr>
            <b/>
            <sz val="8"/>
            <color indexed="8"/>
            <rFont val="Tahoma"/>
            <family val="2"/>
          </rPr>
          <t>Lee et al 2010</t>
        </r>
        <r>
          <rPr>
            <sz val="8"/>
            <color indexed="8"/>
            <rFont val="Tahoma"/>
            <family val="2"/>
          </rPr>
          <t xml:space="preserve">: Lee, K., Kim, T.-W., Byrne, R. H., Millero, F. J., Feely, R. A., and Liu, Y.-M.: The universal ratio of boron to chlorinity for the North Pacific and North Atlantic oceans, Geochim. Cosmochim. Ac., 74, 1801–1811,  oi:10.1016/j.gca.2009.12.027, 2010. 5337, 5345, 5361, 5390
If option 6 (GEOSECS) or 7 (Peng et al) are used for constants, then Culkin (1965) is used for total boron. 
</t>
        </r>
      </text>
    </comment>
    <comment ref="AD3" authorId="1" shapeId="0" xr:uid="{00000000-0006-0000-0100-000005000000}">
      <text>
        <r>
          <rPr>
            <b/>
            <sz val="9"/>
            <color indexed="81"/>
            <rFont val="Tahoma"/>
            <family val="2"/>
          </rPr>
          <t>Optional adjustment of pK for Monte Carlo simulation</t>
        </r>
        <r>
          <rPr>
            <sz val="9"/>
            <color indexed="81"/>
            <rFont val="Tahoma"/>
            <family val="2"/>
          </rPr>
          <t xml:space="preserve">
Input and output conditions use the same optional scalar offset and multipliers for pK values. The scalar offset is added to the estimate of pK. The scalar multiplier is multiplied by the value of pK.</t>
        </r>
        <r>
          <rPr>
            <b/>
            <sz val="9"/>
            <color indexed="81"/>
            <rFont val="Tahoma"/>
            <family val="2"/>
          </rPr>
          <t xml:space="preserve"> For no adjustment, enter a value of 0 for the scalar offset and 1 for the scalar multiplier.</t>
        </r>
        <r>
          <rPr>
            <sz val="9"/>
            <color indexed="81"/>
            <rFont val="Tahoma"/>
            <family val="2"/>
          </rPr>
          <t xml:space="preserve">
For Monte Carlo simulation, it is possible to introduce random error in the calculation of pK values by specifying a probability distributions of either a scalar offset, scalar multiplier, or both.
For example, Lueker et al (2000) report a residual RMSE for pK1 of 0.0055 and for pK2 of 0.01. The residual RMSE of 0.0055 for pK1 reported by Lueker et al can be included in a Monte Carlo simulation by entering the following formula for the scalar offset for pK1 using the YASAIw add-in:
= GENNORMAL(0,0.0055)
Likewise the formula to use for the scalar offset for pK2 would be the following to use Lueker et al's residual of 0.01 as an estimated standard deviation of the scalar offset with the YASAIw add-in:
= GENNORMAL(0,0.01)
</t>
        </r>
      </text>
    </comment>
    <comment ref="C4" authorId="0" shapeId="0" xr:uid="{00000000-0006-0000-0100-000006000000}">
      <text>
        <r>
          <rPr>
            <sz val="8"/>
            <color indexed="8"/>
            <rFont val="Tahoma"/>
            <family val="2"/>
          </rPr>
          <t>Select either of the following two choices from this pop-up list:
1) Dickson
2) Khoo et al
KSO4 is defined to be the dissociation constant for the reaction HSO4- = H+ + SO4--
thus KSO4 = [H] * [SO4] / [HSO4]. 
Two formulations of this are still in current usage: 
Khoo et al, Analytical Chemistry, 49(1):29-34, 1977, and Dickson, Journal of Chemical Thermodynamics, 22:113-127, 1990.
The values of Dickson are now recommended, though many older papers used values of Khoo et al. They are between 15 to 45 % lower than those of Dickson, depending on temperature (mostly).</t>
        </r>
      </text>
    </comment>
    <comment ref="F4" authorId="0" shapeId="0" xr:uid="{00000000-0006-0000-0100-000007000000}">
      <text>
        <r>
          <rPr>
            <sz val="8"/>
            <color indexed="8"/>
            <rFont val="Tahoma"/>
            <family val="2"/>
          </rPr>
          <t xml:space="preserve">Select either of the following four choices from this pop-up list:
1) Total scale (mol/kg-SW)
2) Seawater scale (mol/kg-SW)
3) Free scale (mol/kg-SW)
4) NBS scale (mol/kg-H2O)
The various pH scales are inter-related by the following equations:
                -pHNBS                                           Htot                        Hsws         
    aH = 10            = fH * Hsws,  Hfree  =  ---------------  =  ------------------------- 
                                                                   1 + TS/KSO4       1 + TS/KSO4 + TF/KF 
where aH is the activity and fH the activity coefficient of the H+ ion (this includes liquid junction effects), TS and TF are the concentrations of SO4- and fluorine, and KSO4 and KF are the dissociation constants of HSO4 and HF in seawater.
These conversions depend on temperature, salinity, and pressure. At 20 deg C, Sal 35, and 1 atm, pH values on the total scale are (about) 
- 0.09 units lower than those on the free scale, 
- 0.01 units higher than those on the seawater scale, and 
- 0.13 units lower than those on the NBS scale.
The concentration units for aH on the NBS scale are mol/kg-H2O. The concentration used here for [H] on the other scales is mol/kg-SW (note that the free scale was originally defined in units of mol/kg-H2O). The difference between mol/kg-SW and mol/kg-H2O is about .015 pH units  at salinity 35 (the difference is nearly proportional to salinity).
The seawater scale was formerly referred to as the total scale, and each is still sometimes referred to as the other in the literature. The fit of fH used here is valid from salinities 20 to 40.
</t>
        </r>
      </text>
    </comment>
    <comment ref="L4" authorId="0" shapeId="0" xr:uid="{00000000-0006-0000-0100-000008000000}">
      <text>
        <r>
          <rPr>
            <sz val="8"/>
            <color indexed="8"/>
            <rFont val="Tahoma"/>
            <family val="2"/>
          </rPr>
          <t xml:space="preserve">Select either of the following three choices for calculation of KF (Perez and Fraga 1987 is recommended by Dickson et al (2007) and Orr et al (2014) if temperature is between 10-33 degC and salinity is between 10-40 psu, otherwise Dickson and Riley 1979):
</t>
        </r>
        <r>
          <rPr>
            <b/>
            <sz val="8"/>
            <color indexed="8"/>
            <rFont val="Tahoma"/>
            <family val="2"/>
          </rPr>
          <t>Dickson &amp; Riley 1979</t>
        </r>
        <r>
          <rPr>
            <sz val="8"/>
            <color indexed="8"/>
            <rFont val="Tahoma"/>
            <family val="2"/>
          </rPr>
          <t xml:space="preserve">. Dickson, A. G. 5 and Riley, J. P.: The estimation of acid dissociation constants in seawater media from potentiometric titrations with strong base, I. The ionic product of water – KW, Mar.Chem., 7, 89-99, 1979. 5336, 5352, 5355, 5356, 5373, 5396 
</t>
        </r>
        <r>
          <rPr>
            <b/>
            <sz val="8"/>
            <color indexed="8"/>
            <rFont val="Tahoma"/>
            <family val="2"/>
          </rPr>
          <t>Perez &amp; Fraga 1987</t>
        </r>
        <r>
          <rPr>
            <sz val="8"/>
            <color indexed="8"/>
            <rFont val="Tahoma"/>
            <family val="2"/>
          </rPr>
          <t xml:space="preserve">: Perez, F. F. and Fraga, F.: Association constant of fluoride and hydrogen ions in seawater, Mar.Chem., 21, 161–168, 1987. 5336, 5352, 5355, 5373, 5394
</t>
        </r>
        <r>
          <rPr>
            <b/>
            <sz val="8"/>
            <color indexed="8"/>
            <rFont val="Tahoma"/>
            <family val="2"/>
          </rPr>
          <t>seacarb</t>
        </r>
        <r>
          <rPr>
            <sz val="8"/>
            <color indexed="8"/>
            <rFont val="Tahoma"/>
            <family val="2"/>
          </rPr>
          <t xml:space="preserve">: Use Perez &amp; Fraga 1987  if temperature is between 10-33 degC and salinity is between 10-40 psu, otherwise Dickson and Riley 1979 </t>
        </r>
      </text>
    </comment>
    <comment ref="AD4" authorId="1" shapeId="0" xr:uid="{00000000-0006-0000-0100-000009000000}">
      <text>
        <r>
          <rPr>
            <b/>
            <sz val="9"/>
            <color indexed="81"/>
            <rFont val="Tahoma"/>
            <family val="2"/>
          </rPr>
          <t>Optional adjustment of pK for Monte Carlo simulation</t>
        </r>
        <r>
          <rPr>
            <sz val="9"/>
            <color indexed="81"/>
            <rFont val="Tahoma"/>
            <family val="2"/>
          </rPr>
          <t xml:space="preserve">
Input and output conditions use the same scalar offset and multipliers for pK values. The scalar offset is added to the estimate of pK. The scalar multiplier is multiplied by the value of pK. </t>
        </r>
        <r>
          <rPr>
            <b/>
            <sz val="9"/>
            <color indexed="81"/>
            <rFont val="Tahoma"/>
            <family val="2"/>
          </rPr>
          <t>For no adjustment, enter a value of 0 for the scalar offset and 1 for the scalar multiplier.</t>
        </r>
        <r>
          <rPr>
            <sz val="9"/>
            <color indexed="81"/>
            <rFont val="Tahoma"/>
            <family val="2"/>
          </rPr>
          <t xml:space="preserve">
For Monte Carlo simulation, it is possible to introduce random error in the calculation of pK values by specifying a probability distributions of either a scalar offset, scalar multiplier, or both.
For example, to assume an uncertainty standard deviation of +/- 1% for the estimated pK1 values, enter the following formula for the scalar multiplier for pK1 using the YASAIw add-in:
= GENNORMAL(1,0.01)
</t>
        </r>
      </text>
    </comment>
    <comment ref="C7" authorId="2" shapeId="0" xr:uid="{00000000-0006-0000-0100-00000A000000}">
      <text>
        <r>
          <rPr>
            <sz val="8"/>
            <color indexed="8"/>
            <rFont val="Tahoma"/>
            <family val="2"/>
          </rPr>
          <t>Salinity in dimensionless units on the practical salinity scale</t>
        </r>
      </text>
    </comment>
    <comment ref="D7" authorId="2" shapeId="0" xr:uid="{00000000-0006-0000-0100-00000B000000}">
      <text>
        <r>
          <rPr>
            <sz val="8"/>
            <color indexed="8"/>
            <rFont val="Tahoma"/>
            <family val="2"/>
          </rPr>
          <t>TP = total phosphate (umole/kilogram-SW)
TP=</t>
        </r>
        <r>
          <rPr>
            <sz val="8"/>
            <color indexed="8"/>
            <rFont val="宋体"/>
            <family val="3"/>
            <charset val="134"/>
          </rPr>
          <t>总磷酸盐</t>
        </r>
        <r>
          <rPr>
            <sz val="8"/>
            <color indexed="8"/>
            <rFont val="Tahoma"/>
            <family val="2"/>
          </rPr>
          <t>(umole/kilogram-SW)</t>
        </r>
      </text>
    </comment>
    <comment ref="E7" authorId="2" shapeId="0" xr:uid="{00000000-0006-0000-0100-00000C000000}">
      <text>
        <r>
          <rPr>
            <sz val="8"/>
            <color indexed="8"/>
            <rFont val="Tahoma"/>
            <family val="2"/>
          </rPr>
          <t>TSi = total silicate (umole/kilogram-SW)
TSI=</t>
        </r>
        <r>
          <rPr>
            <sz val="8"/>
            <color indexed="8"/>
            <rFont val="宋体"/>
            <family val="3"/>
            <charset val="134"/>
          </rPr>
          <t>总硅酸盐</t>
        </r>
        <r>
          <rPr>
            <sz val="8"/>
            <color indexed="8"/>
            <rFont val="Tahoma"/>
            <family val="2"/>
          </rPr>
          <t>(umole/kilogram-SW)</t>
        </r>
      </text>
    </comment>
    <comment ref="F7" authorId="2" shapeId="0" xr:uid="{00000000-0006-0000-0100-00000D000000}">
      <text>
        <r>
          <rPr>
            <sz val="8"/>
            <color indexed="8"/>
            <rFont val="Tahoma"/>
            <family val="2"/>
          </rPr>
          <t>Tinp = temperature for input conditions (deg C)
Tinp=</t>
        </r>
        <r>
          <rPr>
            <sz val="8"/>
            <color indexed="8"/>
            <rFont val="宋体"/>
            <family val="3"/>
            <charset val="134"/>
          </rPr>
          <t>输入条件下的温度（摄氏度）</t>
        </r>
      </text>
    </comment>
    <comment ref="G7" authorId="2" shapeId="0" xr:uid="{00000000-0006-0000-0100-00000E000000}">
      <text>
        <r>
          <rPr>
            <sz val="8"/>
            <color indexed="8"/>
            <rFont val="Tahoma"/>
            <family val="2"/>
          </rPr>
          <t>Pinp= pressure (dbar) or depth (m) for input conditions
Depth in meters and pressure in decibars are used interchangeably in this program. 
They differ by only 3% at 10000 dbar (less at lower pressures), well within the uncertainties of the pressure effects on the constants.
Pinp=</t>
        </r>
        <r>
          <rPr>
            <sz val="8"/>
            <color indexed="8"/>
            <rFont val="宋体"/>
            <family val="3"/>
            <charset val="134"/>
          </rPr>
          <t>输入条件下的压力（</t>
        </r>
        <r>
          <rPr>
            <sz val="8"/>
            <color indexed="8"/>
            <rFont val="Tahoma"/>
            <family val="2"/>
          </rPr>
          <t>dbar</t>
        </r>
        <r>
          <rPr>
            <sz val="8"/>
            <color indexed="8"/>
            <rFont val="宋体"/>
            <family val="3"/>
            <charset val="134"/>
          </rPr>
          <t>）或深度（</t>
        </r>
        <r>
          <rPr>
            <sz val="8"/>
            <color indexed="8"/>
            <rFont val="Tahoma"/>
            <family val="2"/>
          </rPr>
          <t>m</t>
        </r>
        <r>
          <rPr>
            <sz val="8"/>
            <color indexed="8"/>
            <rFont val="宋体"/>
            <family val="3"/>
            <charset val="134"/>
          </rPr>
          <t>）</t>
        </r>
        <r>
          <rPr>
            <sz val="8"/>
            <color indexed="8"/>
            <rFont val="宋体"/>
            <family val="3"/>
            <charset val="134"/>
          </rPr>
          <t xml:space="preserve">
</t>
        </r>
      </text>
    </comment>
    <comment ref="H7" authorId="2" shapeId="0" xr:uid="{00000000-0006-0000-0100-00000F000000}">
      <text>
        <r>
          <rPr>
            <sz val="8"/>
            <color indexed="8"/>
            <rFont val="Tahoma"/>
            <family val="2"/>
          </rPr>
          <t>Tout = temperature for output conditions (deg C)
Tout=</t>
        </r>
        <r>
          <rPr>
            <sz val="8"/>
            <color indexed="8"/>
            <rFont val="宋体"/>
            <family val="3"/>
            <charset val="134"/>
          </rPr>
          <t>输出条件下的温度（摄氏度）</t>
        </r>
      </text>
    </comment>
    <comment ref="I7" authorId="2" shapeId="0" xr:uid="{00000000-0006-0000-0100-000010000000}">
      <text>
        <r>
          <rPr>
            <sz val="8"/>
            <color indexed="8"/>
            <rFont val="Tahoma"/>
            <family val="2"/>
          </rPr>
          <t>Pout= pressure (dbar) or depth (m) for output conditions
Depth in meters and pressure in decibars are used interchangeably in this program. They differ by only 3% at 10000 dbar (less at lower pressures), well within the uncertainties of the pressure effects on the constants.</t>
        </r>
      </text>
    </comment>
    <comment ref="J7" authorId="2" shapeId="0" xr:uid="{00000000-0006-0000-0100-000011000000}">
      <text>
        <r>
          <rPr>
            <sz val="8"/>
            <color indexed="8"/>
            <rFont val="Tahoma"/>
            <family val="2"/>
          </rPr>
          <t>depends on selected input paramter case in J3</t>
        </r>
      </text>
    </comment>
    <comment ref="K7" authorId="2" shapeId="0" xr:uid="{00000000-0006-0000-0100-000012000000}">
      <text>
        <r>
          <rPr>
            <sz val="8"/>
            <color indexed="8"/>
            <rFont val="Tahoma"/>
            <family val="2"/>
          </rPr>
          <t>depends on slected input paramter case in J3.</t>
        </r>
      </text>
    </comment>
    <comment ref="L7" authorId="2" shapeId="0" xr:uid="{00000000-0006-0000-0100-000013000000}">
      <text>
        <r>
          <rPr>
            <sz val="8"/>
            <color indexed="8"/>
            <rFont val="Tahoma"/>
            <family val="2"/>
          </rPr>
          <t>depends on selected input paramter case in J3</t>
        </r>
      </text>
    </comment>
    <comment ref="M7" authorId="2" shapeId="0" xr:uid="{00000000-0006-0000-0100-000014000000}">
      <text>
        <r>
          <rPr>
            <sz val="8"/>
            <color indexed="8"/>
            <rFont val="Tahoma"/>
            <family val="2"/>
          </rPr>
          <t>depends on selected input paramter case in J3</t>
        </r>
      </text>
    </comment>
    <comment ref="Q7" authorId="3" shapeId="0" xr:uid="{00000000-0006-0000-0100-000015000000}">
      <text>
        <r>
          <rPr>
            <b/>
            <sz val="8"/>
            <color indexed="8"/>
            <rFont val="Tahoma"/>
            <family val="2"/>
          </rPr>
          <t>CaCO3 saturation states.</t>
        </r>
        <r>
          <rPr>
            <sz val="8"/>
            <color indexed="8"/>
            <rFont val="Tahoma"/>
            <family val="2"/>
          </rPr>
          <t xml:space="preserve"> The solubility product (Ksp) is calculated for both calcite and aragonite, and the saturation states are given in terms of the solubility ratio, Omega, which is defined as
Omega = [CO3--]*[Ca++] / Ksp.
Thus, values of Omega &lt; 1 represent conditions of undersaturation, and values of Omega &gt; 1 represent conditions of oversaturation.
The concentration of calcium, [Ca++] , is assumed to be proportional to the salinity, and the carbonate concentration, [CO3--], is calculated from TCO2, pH, and the values of K1 and K2 for carbonic acid. For Constant Choices 1 to 5, the calcium concentration used is from Riley and Tongudai (1967). The values of Ksp for calcite and aragonite are from Mucci (1983). The pressure correction for Ksp for calcite is from Ingle (1975) and that for aragonite is from Millero (1979).
For the GEOSECS Choice and the Peng Choice, the concentration of calcium is from Culkin (1965). The value of Ksp for calcite is from Ingle (1975) [GEOSECS had referenced Ingle et al. (1973), but this is incorrect.] and Ksp for aragonite is from Berner (1976) (Berner stated that Ksp for aragonite is 1.48 times Ksp for calcite; GEOSECS gave and used the value 1.45 instead of 1.48. The program CO2SYS also uses 1.45). The pressure corrections to these constants are from Takahashi et al. (1982) (the original reference given for the pressure corrections is not valid and the fit used appears to be new to Takahashi et al. 1982).
The equilibrium constants depend on pressure as well as on temperature and salinity. 
</t>
        </r>
      </text>
    </comment>
    <comment ref="S7" authorId="3" shapeId="0" xr:uid="{00000000-0006-0000-0100-000016000000}">
      <text>
        <r>
          <rPr>
            <sz val="8"/>
            <color indexed="8"/>
            <rFont val="Tahoma"/>
            <family val="2"/>
          </rPr>
          <t xml:space="preserve">The Revelle, or homogeneous buffer, factor is the percent change in fCO2 (or pCO2) caused by a 1% change in TCO2 at constant alkalinity. It depends on temperature, salinity, and the total alkalinity and TCO2 (or any combination of two of the CO2 system parameters) of the sample. It is calculated at both the input and output conditions using: 
Revelle factor = (dfCO2/dTCO2) / (fCO2/TCO2)
at constant TA. 
Normal seawater values of the Revelle facter are between 8 and 20. 
</t>
        </r>
      </text>
    </comment>
    <comment ref="V7" authorId="2" shapeId="0" xr:uid="{00000000-0006-0000-0100-000017000000}">
      <text>
        <r>
          <rPr>
            <sz val="8"/>
            <color indexed="8"/>
            <rFont val="Tahoma"/>
            <family val="2"/>
          </rPr>
          <t>depends on selected input paramter case in J3</t>
        </r>
      </text>
    </comment>
    <comment ref="Z7" authorId="3" shapeId="0" xr:uid="{00000000-0006-0000-0100-000018000000}">
      <text>
        <r>
          <rPr>
            <b/>
            <sz val="8"/>
            <color indexed="8"/>
            <rFont val="Tahoma"/>
            <family val="2"/>
          </rPr>
          <t xml:space="preserve">CaCO3 saturation states. </t>
        </r>
        <r>
          <rPr>
            <sz val="8"/>
            <color indexed="8"/>
            <rFont val="Tahoma"/>
            <family val="2"/>
          </rPr>
          <t xml:space="preserve">The solubility product (Ksp) is calculated for both calcite and aragonite, and the saturation states are given in terms of the solubility ratio, Omega, which is defined as
Omega = [CO3--]*[Ca++] / Ksp.
Thus, values of Omega &lt; 1 represent conditions of undersaturation, and values of Omega &gt; 1 represent conditions of oversaturation.
The concentration of calcium, [Ca++] , is assumed to be proportional to the salinity, and the carbonate concentration, [CO3--], is calculated from TCO2, pH, and the values of K1 and K2 for carbonic acid. For Constant Choices 1 to 5, the calcium concentration used is from Riley and Tongudai (1967). The values of Ksp for calcite and aragonite are from Mucci (1983). The pressure correction for Ksp for calcite is from Ingle (1975) and that for aragonite is from Millero (1979).
For the GEOSECS Choice and the Peng Choice, the concentration of calcium is from Culkin (1965). The value of Ksp for calcite is from Ingle (1975) [GEOSECS had referenced Ingle et al. (1973), but this is incorrect.] and Ksp for aragonite is from Berner (1976) (Berner stated that Ksp for aragonite is 1.48 times Ksp for calcite; GEOSECS gave and used the value 1.45 instead of 1.48. The program CO2SYS also uses 1.45). The pressure corrections to these constants are from Takahashi et al. (1982) (the original reference given for the pressure corrections is not valid and the fit used appears to be new to Takahashi et al. 1982).
The equilibrium constants depend on pressure as well as on temperature and salinity. 
</t>
        </r>
      </text>
    </comment>
    <comment ref="AB7" authorId="3" shapeId="0" xr:uid="{00000000-0006-0000-0100-000019000000}">
      <text>
        <r>
          <rPr>
            <sz val="8"/>
            <color indexed="8"/>
            <rFont val="Tahoma"/>
            <family val="2"/>
          </rPr>
          <t xml:space="preserve">The Revelle, or homogeneous buffer, factor is the percent change in fCO2 (or pCO2) caused by a 1% change in TCO2 at constant alkalinity. It depends on temperature, salinity, and the total alkalinity and TCO2 (or any combination of two of the CO2 system parameters) of the sample. It is calculated at both the input and output conditions using: 
Revelle factor = (dfCO2/dTCO2) / (fCO2/TCO2)
at constant TA. 
Normal seawater values of the Revelle facter are between 8 and 20. </t>
        </r>
      </text>
    </comment>
    <comment ref="N8" authorId="3" shapeId="0" xr:uid="{00000000-0006-0000-0100-00001A000000}">
      <text>
        <r>
          <rPr>
            <sz val="8"/>
            <color indexed="8"/>
            <rFont val="Tahoma"/>
            <family val="2"/>
          </rPr>
          <t>dissolved carbon dioxide</t>
        </r>
      </text>
    </comment>
    <comment ref="O8" authorId="3" shapeId="0" xr:uid="{00000000-0006-0000-0100-00001B000000}">
      <text>
        <r>
          <rPr>
            <sz val="8"/>
            <color indexed="8"/>
            <rFont val="Tahoma"/>
            <family val="2"/>
          </rPr>
          <t xml:space="preserve">bicarbonate ion
</t>
        </r>
      </text>
    </comment>
    <comment ref="P8" authorId="3" shapeId="0" xr:uid="{00000000-0006-0000-0100-00001C000000}">
      <text>
        <r>
          <rPr>
            <sz val="8"/>
            <color indexed="8"/>
            <rFont val="Tahoma"/>
            <family val="2"/>
          </rPr>
          <t xml:space="preserve">carbonate ion
</t>
        </r>
      </text>
    </comment>
    <comment ref="W8" authorId="3" shapeId="0" xr:uid="{00000000-0006-0000-0100-00001D000000}">
      <text>
        <r>
          <rPr>
            <sz val="8"/>
            <color indexed="8"/>
            <rFont val="Tahoma"/>
            <family val="2"/>
          </rPr>
          <t>dissolved carbon dioxide</t>
        </r>
      </text>
    </comment>
    <comment ref="X8" authorId="3" shapeId="0" xr:uid="{00000000-0006-0000-0100-00001E000000}">
      <text>
        <r>
          <rPr>
            <sz val="8"/>
            <color indexed="8"/>
            <rFont val="Tahoma"/>
            <family val="2"/>
          </rPr>
          <t xml:space="preserve">bicarbonate ion
</t>
        </r>
      </text>
    </comment>
    <comment ref="Y8" authorId="3" shapeId="0" xr:uid="{00000000-0006-0000-0100-00001F000000}">
      <text>
        <r>
          <rPr>
            <sz val="8"/>
            <color indexed="8"/>
            <rFont val="Tahoma"/>
            <family val="2"/>
          </rPr>
          <t xml:space="preserve">carbonate ion
</t>
        </r>
      </text>
    </comment>
    <comment ref="D9" authorId="3" shapeId="0" xr:uid="{00000000-0006-0000-0100-000020000000}">
      <text>
        <r>
          <rPr>
            <sz val="8"/>
            <color indexed="8"/>
            <rFont val="Tahoma"/>
            <family val="2"/>
          </rPr>
          <t>micro-moles per kilogram of seawater</t>
        </r>
      </text>
    </comment>
    <comment ref="T9" authorId="3" shapeId="0" xr:uid="{00000000-0006-0000-0100-000021000000}">
      <text>
        <r>
          <rPr>
            <sz val="8"/>
            <color indexed="8"/>
            <rFont val="Tahoma"/>
            <family val="2"/>
          </rPr>
          <t>in-situ density of seawater in kilograms of seawater per cubic meter for input conditions of salinity, temperature, and pressure.</t>
        </r>
      </text>
    </comment>
    <comment ref="AC9" authorId="3" shapeId="0" xr:uid="{00000000-0006-0000-0100-000022000000}">
      <text>
        <r>
          <rPr>
            <sz val="8"/>
            <color indexed="8"/>
            <rFont val="Tahoma"/>
            <family val="2"/>
          </rPr>
          <t>in-situ density of seawater in kilograms of seawater per cubic meter for output conditions of salinity, temperature, and pressure.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 Pelletier</author>
  </authors>
  <commentList>
    <comment ref="A4" authorId="0" shapeId="0" xr:uid="{00000000-0006-0000-0200-000001000000}">
      <text>
        <r>
          <rPr>
            <sz val="8"/>
            <color indexed="8"/>
            <rFont val="Tahoma"/>
            <family val="2"/>
          </rPr>
          <t>Select from the pull-down list:
Yes - use the default values below to substitute for missing values that are in the input section co2sys Worksheet
No - don't use the default values and instead report -999 for calculations if there are any missing input values.</t>
        </r>
      </text>
    </comment>
  </commentList>
</comments>
</file>

<file path=xl/sharedStrings.xml><?xml version="1.0" encoding="utf-8"?>
<sst xmlns="http://schemas.openxmlformats.org/spreadsheetml/2006/main" count="1371" uniqueCount="1232">
  <si>
    <t>functional but not flashy. The program included on-line documentation as</t>
  </si>
  <si>
    <t>well as a listing of typos and inconsistencies culled from the literature.</t>
  </si>
  <si>
    <r>
      <t>This Excel Workbook (</t>
    </r>
    <r>
      <rPr>
        <b/>
        <sz val="10"/>
        <rFont val="Arial"/>
        <family val="2"/>
      </rPr>
      <t>co2sys.xls</t>
    </r>
    <r>
      <rPr>
        <sz val="10"/>
        <rFont val="Arial"/>
        <family val="2"/>
      </rPr>
      <t>) is a  Visual Basic for Applications translation</t>
    </r>
  </si>
  <si>
    <t>of the original CO2SYS.EXE program by Lewis and Wallace (1998).</t>
  </si>
  <si>
    <t>Getting started with co2sys.xls</t>
  </si>
  <si>
    <r>
      <t xml:space="preserve">To use the </t>
    </r>
    <r>
      <rPr>
        <b/>
        <sz val="10"/>
        <rFont val="Arial"/>
        <family val="2"/>
      </rPr>
      <t xml:space="preserve">co2sys.xls </t>
    </r>
    <r>
      <rPr>
        <sz val="10"/>
        <rFont val="Arial"/>
        <family val="2"/>
      </rPr>
      <t>workbook, all of the input and output is done in the</t>
    </r>
  </si>
  <si>
    <t xml:space="preserve">Worksheet named 'co2sys'. The user selects from the pull-down list of </t>
  </si>
  <si>
    <t>options in cells C3, C4, F3, F4, and J3. Comments in each of these</t>
  </si>
  <si>
    <t>cells explain the choices. Further documentation of the program options</t>
  </si>
  <si>
    <t>is provided by Lewis and Wallace (1998).</t>
  </si>
  <si>
    <t>Next, enter the input values in columns A through K  of the co2sys Worksheet.</t>
  </si>
  <si>
    <t>Columns A and B are optional and may be left blank. Columns C through K are</t>
  </si>
  <si>
    <t>required and must be filled with valid input values. Special attention is required for</t>
  </si>
  <si>
    <t>columns J and K because the definition and units of these values depends on the</t>
  </si>
  <si>
    <t xml:space="preserve">selection that was made in cell J3. The user may enter as many rows of </t>
  </si>
  <si>
    <t>input values as need and the program will automatically calculate output values</t>
  </si>
  <si>
    <t>for all input rows beginning with row 10.</t>
  </si>
  <si>
    <t xml:space="preserve">After the required model options and input values are input, click on the </t>
  </si>
  <si>
    <r>
      <t>command button labeled '</t>
    </r>
    <r>
      <rPr>
        <b/>
        <sz val="10"/>
        <rFont val="Arial"/>
        <family val="2"/>
      </rPr>
      <t>run co2sys</t>
    </r>
    <r>
      <rPr>
        <sz val="10"/>
        <rFont val="Arial"/>
        <family val="2"/>
      </rPr>
      <t>' and the results will be displayed</t>
    </r>
  </si>
  <si>
    <t>in columns L through Z.</t>
  </si>
  <si>
    <t>The missing value code for this program is any negative values for inputs.</t>
  </si>
  <si>
    <t>If the program encounters a negative value for any input values, then a value</t>
  </si>
  <si>
    <t>of -999 will be returned for the calculated output values.</t>
  </si>
  <si>
    <t>The user has the option of automatically replacing missing input values</t>
  </si>
  <si>
    <t>with default values that are specified on the sheet named 'defaults'.</t>
  </si>
  <si>
    <t>Blank cells may also be used to designate missing input values for</t>
  </si>
  <si>
    <t xml:space="preserve">for variables other than salinity. The program performs calculations up to the </t>
  </si>
  <si>
    <t>first blank cell that is encountered in the salinity inputs column.</t>
  </si>
  <si>
    <t>More information on the original program is available from Ernie Lewis at the address</t>
  </si>
  <si>
    <t xml:space="preserve">given below. The original work was supported by the U.S. Department of Energy, Office </t>
  </si>
  <si>
    <t>of Health and Environmental Research, under Contract No. DE-ACO2-76CH00016.</t>
  </si>
  <si>
    <t>The documentation below is a modified excerpt from the original documentation by</t>
  </si>
  <si>
    <t>Lewis and Wallace (1998) for CO2SYS.EXE, cited as follows:</t>
  </si>
  <si>
    <t>__________________________________________________________________________</t>
  </si>
  <si>
    <t xml:space="preserve">Lewis, E., and D. W. R. Wallace. 1998. Program Developed for </t>
  </si>
  <si>
    <t>CO2 System Calculations. ORNL/CDIAC-105. Carbon Dioxide Information Analysis</t>
  </si>
  <si>
    <t>Center, Oak Ridge National Laboratory, U.S. Department of Energy, Oak Ridge,</t>
  </si>
  <si>
    <t>Tennessee.</t>
  </si>
  <si>
    <t>Introduction</t>
  </si>
  <si>
    <t>The original program CO2SYS.EXE performs calculations relating parameters of the</t>
  </si>
  <si>
    <t>carbon dioxide (CO2) system in seawater and freshwater. The program uses two</t>
  </si>
  <si>
    <t>of the four measureable parameters of the CO2 system [total alkalinity (TA),</t>
  </si>
  <si>
    <t>total inorganic CO2 (TCO2), pH, and either fugacity (fCO2) or partial pressure</t>
  </si>
  <si>
    <t>of CO2 (pCO2)] to calculate the other two parameters at a set of input</t>
  </si>
  <si>
    <t>conditions (temperature and pressure) and a set of output conditions chosen</t>
  </si>
  <si>
    <t>by the user.</t>
  </si>
  <si>
    <t>The orginal CO2SYS.EXE program and documentation are available at this Web site:</t>
  </si>
  <si>
    <t>http://cdiac.esd.ornl.gov/oceans/co2rprt.html</t>
  </si>
  <si>
    <t>CO2 System in Seawater</t>
  </si>
  <si>
    <t>The CO2 system in seawater is characterized by four measurable parameters:</t>
  </si>
  <si>
    <t>the total alkalinity (TA); the total inorganic CO2 (TCO2) (i.e., the sum of</t>
  </si>
  <si>
    <t>the dissolved CO2, the carbonate, and the bicarbonate); the pH; and either</t>
  </si>
  <si>
    <t>the fugacity of CO2 (fCO2) or the partial pressure of CO2 in air which is in</t>
  </si>
  <si>
    <t>equilibrium with the sample (pCO2). Both fCO2 and pCO2 are defined to be in</t>
  </si>
  <si>
    <t>wet (100% water-saturated) air and are proportional to the dissolved CO2.</t>
  </si>
  <si>
    <t>The fugacity is about 0.3% to 0.4% lower than the partial pressure over the</t>
  </si>
  <si>
    <t>range of interest, due to the non-ideality of CO2. TA and TCO2 are independent</t>
  </si>
  <si>
    <t>of temperature and pressure; fCO2, pCO2, and pH are not. The knowledge of</t>
  </si>
  <si>
    <t>any two of these parameters, along with the temperature, salinity, pressure,</t>
  </si>
  <si>
    <t>abundances of other constituents of seawater, and the relevant equilibrium</t>
  </si>
  <si>
    <t>constants, allows the determination of the other two.</t>
  </si>
  <si>
    <t>Unfortunately, this is not as easy as it sounds. The two definitions of</t>
  </si>
  <si>
    <t>alkalinity in current usage differ in how minor species are treated. There</t>
  </si>
  <si>
    <t>are four different pH scales [total, seawater, free, and NBS (National</t>
  </si>
  <si>
    <t>Bureau of Standards, now the National Institute of Standards and</t>
  </si>
  <si>
    <t>Technology)] in current usage (it is even more complicated in the literature</t>
  </si>
  <si>
    <t>where the distinction between the total scale and the seawater scale hasn't</t>
  </si>
  <si>
    <t>always been made). The situation with the equilibrium constants is</t>
  </si>
  <si>
    <t>potentially more confusing: there are several different formulations of K1</t>
  </si>
  <si>
    <t>and K2 (the first and second dissociation constants of carbonic acid in</t>
  </si>
  <si>
    <t>seawater) and also several formulations for the other dissociation constants</t>
  </si>
  <si>
    <t>of interest, on various pH and concentration scales.</t>
  </si>
  <si>
    <t>Many of these differences are slight, but their importance is in direct</t>
  </si>
  <si>
    <t>proportion to the desired precision of the calculated values. The correction</t>
  </si>
  <si>
    <t>for the non-ideality of CO2, for instance, is only around 0.3% under most</t>
  </si>
  <si>
    <t>conditions, but this is near the precision of some measurements systems. The</t>
  </si>
  <si>
    <t>difference in the definitions of alkalinity consists mainly in the treatment</t>
  </si>
  <si>
    <t>of phosphate. Though this seems small, it can have a large effect on the</t>
  </si>
  <si>
    <t xml:space="preserve">calculated fCO2. For instance, when fCO2 (or pCO2) is calculated from TA and </t>
  </si>
  <si>
    <t>TCO2, a modest phosphate concentration, such as 3 umol/kg-SW, can result in</t>
  </si>
  <si>
    <t>a difference of 20 uatm or more, depending on which definition of alkalinity</t>
  </si>
  <si>
    <t xml:space="preserve">is used. This difference is quite significant. </t>
  </si>
  <si>
    <t xml:space="preserve">We evaluated several other programs that performed calculations relating </t>
  </si>
  <si>
    <t>the seawater CO2 system parameters. These programs differed in the values of the</t>
  </si>
  <si>
    <t>constants used and in what contributions to the alkalinity were considered.</t>
  </si>
  <si>
    <t>To get an idea of the differences, we ran three programs with the following</t>
  </si>
  <si>
    <t>inputs: TA = 2300 umol/kg-SW; TCO2 = 2000 umol/kg-SW; no phosphate or silicate</t>
  </si>
  <si>
    <t>(two of the programs didn't have an option to include these); and</t>
  </si>
  <si>
    <t>temperature (degrees Celsius), salinity (on the Practical Salinity Scale),</t>
  </si>
  <si>
    <t>and pressure (in decibars) equal to 20, 35, and 0, respectively. The results</t>
  </si>
  <si>
    <t>were as follows:</t>
  </si>
  <si>
    <t xml:space="preserve">                                                       </t>
  </si>
  <si>
    <t xml:space="preserve">          Program    pCO2    pH    pH Scale    HCO3-     CO3--</t>
  </si>
  <si>
    <t xml:space="preserve">                    (uatm)                   (umol/kg)  (umol/kg)</t>
  </si>
  <si>
    <t xml:space="preserve">            ---      ---    -----  --------    ----      ---             </t>
  </si>
  <si>
    <t xml:space="preserve">             1       336    8.229    free      1767      223</t>
  </si>
  <si>
    <t xml:space="preserve">             2       351    8.088  seawater    1772      216</t>
  </si>
  <si>
    <t xml:space="preserve">             3       330    8.247     NBS      1782      208</t>
  </si>
  <si>
    <t>As can be seen, the pH values are on different pH scales and thus are</t>
  </si>
  <si>
    <t>difficult to compare. The values for pCO2, though, should be the same</t>
  </si>
  <si>
    <t>Atlantic surface water: Observations and model. Tellus 39B:439-458.</t>
  </si>
  <si>
    <t>Riley, J. P. 1965. The occurrence of anomalously high fluoride</t>
  </si>
  <si>
    <t>concentrations in the North Atlantic. Deep-Sea Research 12:219-220.</t>
  </si>
  <si>
    <t>Riley, J. P., and M. Tongudai. 1967. The major cation/chlorinity ratios in</t>
  </si>
  <si>
    <t>sea water. Chemical Geology 2:263-269.</t>
  </si>
  <si>
    <t>Roy, R. N., L. N. Roy, K. M. Vogel, C. Porter-Moore, T. Pearson, C. E. Good,</t>
  </si>
  <si>
    <t>F. J. Millero, and D. M. Campbell. 1993. The dissociation constants of</t>
  </si>
  <si>
    <t xml:space="preserve">carbonic acid in seawater at salinities 5 to 45 and temperatures 0 to 45 </t>
  </si>
  <si>
    <t>deg C. Marine Chemistry 44:249-267.</t>
  </si>
  <si>
    <t>--. 1994. Erratum. Marine Chemistry 45:337.</t>
  </si>
  <si>
    <t>--. 1996. Erratum. Marine Chemistry 52:183.</t>
  </si>
  <si>
    <t>(1993), and the value of KSO4 was that of Dickson (1990a). Program 3 did</t>
  </si>
  <si>
    <t>include the contributions of phosphate and silicate, but had no corrections</t>
  </si>
  <si>
    <t>for the non-ideality of CO2 or for pressure. The values of K1 and K2 used</t>
  </si>
  <si>
    <t>were from Mehrbach et al. (1973). Each of the programs used a different</t>
  </si>
  <si>
    <t>value for KB, the dissociation constant for boric acid.</t>
  </si>
  <si>
    <t>It can thus be seen how different programs, with no coding errors, can yield</t>
  </si>
  <si>
    <t>very different results. Because of this, we decided to provide a single</t>
  </si>
  <si>
    <t>program that encompassed a wide variety of choices for CO2 system constants,</t>
  </si>
  <si>
    <t>pH scales, etc. in order to facilitate the assessment of the CO2 system</t>
  </si>
  <si>
    <t>calculations to such choices.</t>
  </si>
  <si>
    <t>About Program CO2SYS.EXE</t>
  </si>
  <si>
    <t>The program CO2SYS.EXE was designed for either single-input mode or batch-input</t>
  </si>
  <si>
    <t>mode, and allows for a variety of options, including the choice of various</t>
  </si>
  <si>
    <t>formulations for K1 and K2, two distinct formulations for KSO4 (Dickson</t>
  </si>
  <si>
    <t>1990a, Khoo et al. 1977), the choice of four pH scales (free, total,</t>
  </si>
  <si>
    <t>seawater, or NBS), and the use of either fugacity (fCO2) or partial pressure</t>
  </si>
  <si>
    <t>(pCO2) of CO2.</t>
  </si>
  <si>
    <t>Any two CO2 system parameters (TA, TCO2, fCO2 or pCO2, and pH) may be chosen</t>
  </si>
  <si>
    <t>as the inputs from which the other two parameters will be calculated.</t>
  </si>
  <si>
    <t>Contributions to the alkalinity from phosphate, silicate, and OH are</t>
  </si>
  <si>
    <t>included, as are the effects of pressure and the non-ideality of CO2. An</t>
  </si>
  <si>
    <t>on-screen information section is available that includes discussions of the</t>
  </si>
  <si>
    <t>various options and provides references for the values used as well as for</t>
  </si>
  <si>
    <t>other topics that are relevant to the program. Every effort has been made to</t>
  </si>
  <si>
    <t>make this program as correct, complete, and user-friendly as possible.</t>
  </si>
  <si>
    <t>However, the program is not failsafe, and some familiarity with the CO2</t>
  </si>
  <si>
    <t>system in seawater is assumed. Most of the fits to the constants are valid</t>
  </si>
  <si>
    <t>only over a restricted range of salinities (mostly 20 to 40). Values outside</t>
  </si>
  <si>
    <t>of this range should not be expected to yield correct results.</t>
  </si>
  <si>
    <t>The units used for the variables in this program are micro-moles per</t>
  </si>
  <si>
    <t>kilogram of seawater (umol/kg-SW) for concentrations of TA, TCO2, etc.;</t>
  </si>
  <si>
    <t>micro-atmospheres (uatm) for pCO2 and fCO2; and parts per million (ppm) for</t>
  </si>
  <si>
    <t>the mole ratio of CO2 in dry air. All temperatures are in degrees Celsius</t>
  </si>
  <si>
    <t>(deg C), all salinities are on the Practical Salinity Scale, and all pressures</t>
  </si>
  <si>
    <t xml:space="preserve">are in decibars (dbar). Depth in meters may be used instead of pressure; these </t>
  </si>
  <si>
    <t xml:space="preserve">parameters differ by only 3% at 10,000 dbar and less at lower pressures, well </t>
  </si>
  <si>
    <t xml:space="preserve">within the uncertainties of the pressure effects on the equilibrium constants. </t>
  </si>
  <si>
    <t>In this program, units for the concentration of [H+], necessary to</t>
  </si>
  <si>
    <t>clearly define the pH scale, are mol/kg-SW for the total, seawater, and free</t>
  </si>
  <si>
    <t>pH scales (note that the original definition in the literature for the free</t>
  </si>
  <si>
    <t>pH scale was in molal units), and mol/kg-H2O (molal) for the NBS scale (by</t>
  </si>
  <si>
    <t>definition).</t>
  </si>
  <si>
    <t>Since the equilibrium constants given in the literature are on various pH</t>
  </si>
  <si>
    <t>scales and in various concentration units (molar, molal, or mol/kg-SW), it</t>
  </si>
  <si>
    <t>is imperative that they be converted correctly to the desired scale. In</t>
  </si>
  <si>
    <t>developing this program, much work was done to ensure that this was the</t>
  </si>
  <si>
    <t>case. There is a paucity of data for many of the values. The values used in</t>
  </si>
  <si>
    <t>this program were those we chose to be the best from the available data.</t>
  </si>
  <si>
    <t>Many errors and inconsistencies were found in the literature. In writing</t>
  </si>
  <si>
    <t>this program, a list of these typographic errors was compiled. This list is</t>
  </si>
  <si>
    <t>included as an Appendix to Lewis and Wallace (1998) because it may be of interest to</t>
  </si>
  <si>
    <t>those involved in calculations for the carbonate system. Although most of</t>
  </si>
  <si>
    <t>the errors are very minor, it is hoped that use of this list will save time</t>
  </si>
  <si>
    <t>and effort for anyone wishing to delve further into the topic.</t>
  </si>
  <si>
    <t>It can occur that for certain inputs of TCO2 and fCO2 or pCO2, the system has</t>
  </si>
  <si>
    <t>no solution for the given input conditions. If this occurs in single-input</t>
  </si>
  <si>
    <t>mode, the user is notified and the parameters may be re-entered. If this</t>
  </si>
  <si>
    <t>occurs in batch-input mode, -999 is printed for TA, pH, and the other</t>
  </si>
  <si>
    <t>calculated parameters for that sample.</t>
  </si>
  <si>
    <t>Inputs</t>
  </si>
  <si>
    <t>Each line in the input file (batch mode) must contain the following fields for one sample:</t>
  </si>
  <si>
    <t xml:space="preserve">   * the ID fields (optional columns A and B),</t>
  </si>
  <si>
    <t xml:space="preserve">   * salinity (on the Practical Salinity Scale),</t>
  </si>
  <si>
    <t xml:space="preserve">   * total phosphate (in umol/kg-SW),</t>
  </si>
  <si>
    <t xml:space="preserve">   * total silicate (in umol/kg-SW),</t>
  </si>
  <si>
    <t xml:space="preserve">   * temperature (deg C) of the input CO2 system parameters,</t>
  </si>
  <si>
    <t xml:space="preserve">   * pressure (dbar) of the input CO2 system parameters,</t>
  </si>
  <si>
    <t xml:space="preserve">   * temperature (deg C) for output conditions,</t>
  </si>
  <si>
    <t xml:space="preserve">   * pressure (dbar) for output conditions,</t>
  </si>
  <si>
    <t xml:space="preserve">   * the first known CO2 system parameter, and</t>
  </si>
  <si>
    <t xml:space="preserve">   * the other known CO2 system parameter.</t>
  </si>
  <si>
    <t>It is VERY IMPORTANT that the input data be in the correct format and that</t>
  </si>
  <si>
    <t>the correct order of the CO2 system parameters be followed:</t>
  </si>
  <si>
    <t xml:space="preserve">   * TA will always come first if used;</t>
  </si>
  <si>
    <t xml:space="preserve">   * TCO2 (if used) will precede any parameter except TA;</t>
  </si>
  <si>
    <t xml:space="preserve">   * pH (if used) is next;</t>
  </si>
  <si>
    <t xml:space="preserve">   * fCO2 (or pCO2) will always be last if used.</t>
  </si>
  <si>
    <t>Units used are umol/kg-SW and uatm. Six example data files, CASE1.INP -</t>
  </si>
  <si>
    <t>CASE6.INP, are included with the program; there is one data file for each of</t>
  </si>
  <si>
    <t>the choices of CO2 system input parameters. Following is the sample data</t>
  </si>
  <si>
    <t>file CASE1.INP:</t>
  </si>
  <si>
    <t xml:space="preserve">            This is CASE1.INP, a test program for CO2SYS. It works for case 1.</t>
  </si>
  <si>
    <t xml:space="preserve">                line1, 35., 3., 55., 20., 0, 5, 1000, 2400., 2200.</t>
  </si>
  <si>
    <t xml:space="preserve">                line2, 35., 0, 0, 20, 0, 5, 1000, 2400., 2300.</t>
  </si>
  <si>
    <t xml:space="preserve">                line3, 33., 2., 122., 15, 0, 5, 0, 2300., 2200.</t>
  </si>
  <si>
    <t xml:space="preserve">                line4, 35., 0, 0, 20, 0, 15, 0, 2300., 2100.</t>
  </si>
  <si>
    <t xml:space="preserve">                line5, 33., 3., 2., 25, 0, 10, 100, 2200., 2100.</t>
  </si>
  <si>
    <t>In this example, the input data are comma-separated (this is recommended),</t>
  </si>
  <si>
    <t xml:space="preserve">but they may also be space-separated. For space-separated data, the ID </t>
  </si>
  <si>
    <t>fields MUST be within double quotes; for comma-separated data, this is not</t>
  </si>
  <si>
    <t xml:space="preserve">required. [Note that EXCEL(tm) puts double quotes around each double quote </t>
  </si>
  <si>
    <t xml:space="preserve">when importing a CSV file]. It can occur that for certain inputs of TCO2 and </t>
  </si>
  <si>
    <t xml:space="preserve">fCO2 (or pCO2), the system has no solution for the given input conditions. </t>
  </si>
  <si>
    <t>If this occurs, -999 is printed for the TA, pH, and the other calculated</t>
  </si>
  <si>
    <t>There original CO2SYS.EXE program had eight choices for the constants.</t>
  </si>
  <si>
    <t>differences as well, which are described below. The original eight choices were</t>
  </si>
  <si>
    <t>Millero, F.J., T.B. Graham, F. Huang, H. Bustos-Serrano, and D. Pierrot. 2006</t>
  </si>
  <si>
    <t>Dissociation constants of carbonic acid in seawater as a function of salinity</t>
  </si>
  <si>
    <t>and temperature. Marine Chemistry 100 (2006) 80-94.</t>
  </si>
  <si>
    <t xml:space="preserve">  9. Cai and Wang (1998)</t>
  </si>
  <si>
    <t xml:space="preserve">  10. Millero et al. (2006)</t>
  </si>
  <si>
    <t xml:space="preserve">  8. Freshwater Choice from Millero (1979).</t>
  </si>
  <si>
    <t>seawater scale</t>
  </si>
  <si>
    <t xml:space="preserve">This work was supported by the U.S. Department of Energy Office of Health </t>
  </si>
  <si>
    <t xml:space="preserve">and Enviromental Research under contract DE-ACO2-76CH00016, through a </t>
  </si>
  <si>
    <t xml:space="preserve">project entitled `Inorganic Carbon for the World Ocean Circulation Experiment </t>
  </si>
  <si>
    <t>- World Hydrographic Program' (D.W.R. Wallace and K.M. Johnson, PIs).</t>
  </si>
  <si>
    <t>References</t>
  </si>
  <si>
    <t>Berner, R. A. 1976. The solubility of calcite and aragonite in seawater in</t>
  </si>
  <si>
    <t>atmospheric pressure and 34.5 ppt salinity. American Journal of Science</t>
  </si>
  <si>
    <t>276:713-730.</t>
  </si>
  <si>
    <t>Butler, J. N. 1991. Carbon Dioxide Equilibria and Their Applications. Lewis</t>
  </si>
  <si>
    <t>Publishers, Inc., Chelsea, Mich.</t>
  </si>
  <si>
    <t>Butler, J. N. 1992. Alkalinity titration in seawater: How accurately can the</t>
  </si>
  <si>
    <t>data be fitted by an equilibrium model? Marine Chemistry 38:251-282.</t>
  </si>
  <si>
    <t>These values have been determined by many different investigators in many</t>
  </si>
  <si>
    <t>ways. Most assume values of temperature and salinity within ranges normally</t>
  </si>
  <si>
    <t>found in the oceans, so use of values outside these ranges may result in</t>
  </si>
  <si>
    <t>fits being extrapolated beyond the region where data were collected.</t>
  </si>
  <si>
    <t>They differ mostly in the formulation of K1 and K2, but there are other slight</t>
  </si>
  <si>
    <t xml:space="preserve">  1. Roy et al. (1993),</t>
  </si>
  <si>
    <t xml:space="preserve">  2. Goyet and Poisson (1989),</t>
  </si>
  <si>
    <t xml:space="preserve">  3. Hansson (1973a,b), refit by Dickson and Millero (1987),</t>
  </si>
  <si>
    <t xml:space="preserve">  4. Mehrbach et al. (1973), refit by Dickson and Millero (1987),</t>
  </si>
  <si>
    <t xml:space="preserve">  5. Dickson and Millero's fit of the combined Hansson/Mehrbach data,</t>
  </si>
  <si>
    <t xml:space="preserve">  6. GEOSECS Choice (Takahashi et al. 1982),</t>
  </si>
  <si>
    <t xml:space="preserve">  7. Peng Choice (Peng et al. 1987), and</t>
  </si>
  <si>
    <t>Constants are converted to the appropriate pH and concentration scales, if</t>
  </si>
  <si>
    <t>needed, before calculations are made.</t>
  </si>
  <si>
    <t>In all cases, K0, the solubility of CO2 in seawater, is from Weiss (1974),</t>
  </si>
  <si>
    <t>who combined the measurements of Murray and Riley (1971) with some of his</t>
  </si>
  <si>
    <t>own and fit the resulting data. Estimates of the accuracy of K0 vary from</t>
  </si>
  <si>
    <t>0.2% (Weiss 1974) to 0.5% (Dickson and Riley 1978). The virial coefficients</t>
  </si>
  <si>
    <t>of CO2 and CO2-air are from Weiss (1974). The vapor pressure of H2O above</t>
  </si>
  <si>
    <t>seawater is from Weiss and Price (1980). The concentrations of sulfate and</t>
  </si>
  <si>
    <t>fluorine are from Morris and Riley (1966) and Riley (1965), respectively.</t>
  </si>
  <si>
    <t>The value of KSO4 is from either Khoo et al. (1977) or Dickson (1990a) (this</t>
  </si>
  <si>
    <t xml:space="preserve">is a choice the user makes). Both of these are given in units of mol/kg-H2O </t>
  </si>
  <si>
    <t>and both are (inherently) on the free pH scale. KF is from Dickson and Riley</t>
  </si>
  <si>
    <t>(1979). It is also (inherently) on the free pH scale and is given in units</t>
  </si>
  <si>
    <t>of mol/kg-H2O. Sulfate and fluoride contribute almost nothing to the</t>
  </si>
  <si>
    <t>alkalinity under most circumstances, but their concentrations and</t>
  </si>
  <si>
    <t>dissociation constants are important in converting between the various pH</t>
  </si>
  <si>
    <t>scales. The value used for fH, the activity coefficient of the hydrogen ion</t>
  </si>
  <si>
    <t>(also necessary in converting between pH scales) is from the fit given in</t>
  </si>
  <si>
    <t>Takahashi et al. (1982), except for the Peng Choice, in which case the fit</t>
  </si>
  <si>
    <t>given in Peng et al. (1987) is used.</t>
  </si>
  <si>
    <t>The relevant equilibrium constants that define the speciation of CO2 in</t>
  </si>
  <si>
    <t>seawater, K1 and K2, have been determined for various temperatures and</t>
  </si>
  <si>
    <t>salinities by several different investigators. There are four sets of</t>
  </si>
  <si>
    <t>measurements that remain worthy of consideration. These were made by Roy et</t>
  </si>
  <si>
    <t>al. (1993) on the total pH scale in units of mol/kg-H2O, Goyet and Poisson</t>
  </si>
  <si>
    <t>(1989) on the seawater pH scale in units of mol/kg-SW, Hansson (1973a,b) on</t>
  </si>
  <si>
    <t>the total pH scale in units of mol/kg-SW, and Mehrbach et al. (1973) on the</t>
  </si>
  <si>
    <t>NBS pH scale in units of mol/kg-SW. The data of Hansson (1973a,b) and</t>
  </si>
  <si>
    <t>Mehrbach et al. (1973), both separately and together, have been refit by</t>
  </si>
  <si>
    <t>Dickson and Millero (1987) on the seawater scale in units of mol/kg-SW.</t>
  </si>
  <si>
    <t>Both GEOSECS (Takahashi et al. 1982) and Peng et al. (1987) used the fit</t>
  </si>
  <si>
    <t>given in Mehrbach et al. (1973).</t>
  </si>
  <si>
    <t>The following are approximate 2s precisions of the fits of the data:</t>
  </si>
  <si>
    <t>(Remember that precision and accuracy are NOT the same!):</t>
  </si>
  <si>
    <t xml:space="preserve">                                                               K1      K2</t>
  </si>
  <si>
    <t xml:space="preserve"> Roy et al. (1993)                                             2%      1.5%</t>
  </si>
  <si>
    <t xml:space="preserve"> Goyet and Poisson (1989)                                      2.5%    4.5%</t>
  </si>
  <si>
    <t xml:space="preserve"> Hansson (1973a,b), refit by Dickson and Millero (1987)        3%      4%</t>
  </si>
  <si>
    <t xml:space="preserve"> Mehrbach et al. (1973), refit by Dickson and Millero (1987)   2.5%    4.5%</t>
  </si>
  <si>
    <t xml:space="preserve"> Dickson and Millero's combined fit                            4%      6%</t>
  </si>
  <si>
    <t xml:space="preserve"> Mehrbach et al. (1973)                                        1.2%    0.7%</t>
  </si>
  <si>
    <t xml:space="preserve"> Freshwater Choice                                             0.5%    0.7%</t>
  </si>
  <si>
    <t>therefore discussed together. The value of KB is from Dickson (1990b) and TB</t>
  </si>
  <si>
    <t>is from Uppstrom (1974). The calcium concentration used is from Riley and</t>
  </si>
  <si>
    <t>Tongudai (1967). The values of Ksp for calcite and aragonite are from Mucci</t>
  </si>
  <si>
    <t>(1983). The effects of pressure on K1 and K2 are from Millero (1995). The</t>
  </si>
  <si>
    <t>effects of pressure on KB are from Millero (1979) (but without the salinity</t>
  </si>
  <si>
    <t>dependence). Note that typographic errors in Millero (1995) include a factor</t>
  </si>
  <si>
    <t>of 1000 left out of the definition of Kappa and an incorrect value and</t>
  </si>
  <si>
    <t>incorrect units for the gas constant R (see Appendix). The pressure</t>
  </si>
  <si>
    <t>correction for Ksp for calcite is from Ingle (1975) and that for aragonite</t>
  </si>
  <si>
    <t>from Millero (1979).</t>
  </si>
  <si>
    <t>The definition of alkalinity used is that of Dickson (1981):</t>
  </si>
  <si>
    <t>TA = [HCO3] + 2[CO3] + [B(OH)4] + [OH] + [HPO4] + 2[PO4] + [SiO(OH)3] + [HS]</t>
  </si>
  <si>
    <t xml:space="preserve">   + 2[S] + [NH3] - [H] - [HSO4] - [HF] - [H3PO4],</t>
  </si>
  <si>
    <t>except that the contributions from HS, S, and NH3 are not included.</t>
  </si>
  <si>
    <t>Values of KW, KP1, KP2, and KP3, and KSi are from Millero (1995), where they</t>
  </si>
  <si>
    <t>are given on the seawater scale.</t>
  </si>
  <si>
    <t>GEOSECS Choice</t>
  </si>
  <si>
    <t>The GEOSECS option was designed to replicate the calculations performed in</t>
  </si>
  <si>
    <t>the GEOSECS atlases by Takahashi et al. (1982). These calculations were made</t>
  </si>
  <si>
    <t>on the NBS pH scale using the values of K1 and K2 from Mehrbach et al.</t>
  </si>
  <si>
    <t>(1973) and the value of KB from Lyman (1957) as fit by Li et al. (1969). The</t>
  </si>
  <si>
    <t>definition of alkalinity used was TA = [HCO3] + 2[CO3] + [H2BO3], which did</t>
  </si>
  <si>
    <t>Millero, F. J., and M. L. Sohn. 1992. The carbonate system. pp. 267-319. In</t>
  </si>
  <si>
    <t>F. J. Millero and M. L. Sohn, Chemical Oceanography. CRC Press, Boca Raton,</t>
  </si>
  <si>
    <t>Fla.</t>
  </si>
  <si>
    <t xml:space="preserve">   * On p. 275 there is ambiguity and inconsistency in the definitions and</t>
  </si>
  <si>
    <t xml:space="preserve">     distinctions between the total and the seawater pH scales.</t>
  </si>
  <si>
    <t xml:space="preserve">   * On p. 276, equation 31 should read A = -1226.966 ...</t>
  </si>
  <si>
    <t xml:space="preserve">   * On p. 276, equation 36 is incorrect in several places: the denominator</t>
  </si>
  <si>
    <t xml:space="preserve">     in the first expression should be squared, and the terms CH and COH</t>
  </si>
  <si>
    <t xml:space="preserve">     should not be in the numerator but rather by themselves. This</t>
  </si>
  <si>
    <t xml:space="preserve">     expression also makes the approximation that K1* &gt;&gt; K2*.</t>
  </si>
  <si>
    <t xml:space="preserve">   * On p. 279, the right-hand side of equation 52 should read: </t>
  </si>
  <si>
    <t xml:space="preserve">     pK1 + (-840.39/T + 19.894 - 3.0189 ln T) * S ^ (1/2) + .0068 S.</t>
  </si>
  <si>
    <t xml:space="preserve">   * On p. 280, the last term in eq. 56 should be .0217 S, not 1.0217 S.</t>
  </si>
  <si>
    <t xml:space="preserve">   * On p. 281, the last term in eq. 65 should be .01767 S, not 1.01767 S.</t>
  </si>
  <si>
    <t xml:space="preserve">   * On p. 281, the second = in eq. 72 should be a -.</t>
  </si>
  <si>
    <t xml:space="preserve">   * On p. 282 in equation 79, the term 63.9806 should be 63.806.</t>
  </si>
  <si>
    <t xml:space="preserve">   * On p. 286, eq. 96 has brackets and parentheses missing in several places.</t>
  </si>
  <si>
    <t>The following are where the fits for the constants are from:</t>
  </si>
  <si>
    <t xml:space="preserve">   * p. 273: KW from Millero (1979) from data of Hansson (1973 a,b).</t>
  </si>
  <si>
    <t xml:space="preserve">   * p. 273: deltaV, deltaK for KW from Millero (1983).</t>
  </si>
  <si>
    <t xml:space="preserve">   * p. 276: KSO4 from Millero (1986).</t>
  </si>
  <si>
    <t xml:space="preserve">   * pp. 279 and 280: K1 and K2 from Dickson and Millero (1987), combined</t>
  </si>
  <si>
    <t xml:space="preserve">     data of Hansson (1973 a,b) and Mehrbach et al. (1973).</t>
  </si>
  <si>
    <t xml:space="preserve">   * p. 280: deltaV, deltaK for K1, K2 from Millero (1979).</t>
  </si>
  <si>
    <t xml:space="preserve">   * p. 281: KB from Millero (1979) from data of Hansson (1973a,b).</t>
  </si>
  <si>
    <t xml:space="preserve">   * p. 281: deltaV, deltaK for KB from Millero (1979).</t>
  </si>
  <si>
    <t xml:space="preserve">   * p. 281: Ksp for calcite, aragonite from Millero (1979).</t>
  </si>
  <si>
    <t xml:space="preserve">   * pp. 281 and 282: deltaV, deltaK for calcite from Ingle (1975).</t>
  </si>
  <si>
    <t xml:space="preserve">   * p. 282: deltaV, deltaK for aragonite from Millero (1979).</t>
  </si>
  <si>
    <t xml:space="preserve">   * p. 282: pH variation with T, P from Millero (1979).</t>
  </si>
  <si>
    <t>These are the references:</t>
  </si>
  <si>
    <t xml:space="preserve">   * Millero, F. J. 1979. Geochemica et Cosmochemica Acta 43:1651-1661.</t>
  </si>
  <si>
    <t xml:space="preserve">   * Dickson, A. G., and F. J. Millero. 1987. Deep-Sea Research</t>
  </si>
  <si>
    <t>which is similar to that of GEOSECS (Takahashi et al. 1982). This scheme has</t>
  </si>
  <si>
    <t>been used extensively by modelers. Peng et al. (1987) worked on the NBS pH</t>
  </si>
  <si>
    <t>scale and included effects of phosphate, silicate, and OH, but did not</t>
  </si>
  <si>
    <t>distinguish between fCO2 and pCO2. The values of K1 and K2 used were from</t>
  </si>
  <si>
    <t>Mehrbach et al. (1973) as given in that paper, and the value of KB was from</t>
  </si>
  <si>
    <t>Lyman (1957) as fit by Li et al. (1969). The boron concentration was from</t>
  </si>
  <si>
    <t>Culkin (1965) and is about 1% lower than that used for Constant Choices 1 to</t>
  </si>
  <si>
    <t>5. The value of fH given in their paper was NOT the same as that given in</t>
  </si>
  <si>
    <t>the GEOSECS report as claimed; rather, it had been rounded off and was</t>
  </si>
  <si>
    <t xml:space="preserve">therefore about 1% higher, corresponding to a change of 0.003 in pH. Note </t>
  </si>
  <si>
    <t>that the check value given in Peng et al. (1987) does not match either fit.</t>
  </si>
  <si>
    <t xml:space="preserve">Peng et al. (1987) did not treat calcite and aragonite solubility or pressure </t>
  </si>
  <si>
    <t xml:space="preserve">effects. However, these effects are included in the program CO2SYS for the </t>
  </si>
  <si>
    <t xml:space="preserve">Peng Choice by using values for solubility and pressure dependence of K1, K2, </t>
  </si>
  <si>
    <t xml:space="preserve">and KB from GEOSECS and values for the pressure dependence of OH and </t>
  </si>
  <si>
    <t>phosphate and silicate dissociation as are used in Constant Choices 1 to 5.</t>
  </si>
  <si>
    <t>Peng et al. (1987) used KP2 and KP3 from Kester and Pytkowicz (1967), KSi</t>
  </si>
  <si>
    <t>from Sillen et al. (1964, p. 751), and KW from Millero (1979).</t>
  </si>
  <si>
    <t>The definition of alkalinity used by Peng et al. (1987) is:</t>
  </si>
  <si>
    <t>TA = [HCO3] + 2[CO3] + [H2BO3] + [H3SiO4] + [H2PO4] + 2[HPO4] + 3[PO4] + [OH].</t>
  </si>
  <si>
    <t>This differs from the equation for TA of Dickson (1981) which is used in</t>
  </si>
  <si>
    <t>Constant Choices 1 to 5 mainly in that it is greater by an amount equal to</t>
  </si>
  <si>
    <t>the total phosphate:</t>
  </si>
  <si>
    <t>TP = [PO4---] + [HPO4--] + [H2PO4-] + [H3PO4].</t>
  </si>
  <si>
    <t>This seems insignificant, but can under certain conditions affect the</t>
  </si>
  <si>
    <t>calculated fCO2 appreciably.</t>
  </si>
  <si>
    <t>Freshwater Choice</t>
  </si>
  <si>
    <t>The definition of alkalinity used in this case is</t>
  </si>
  <si>
    <t>TA = [HCO3] + 2[CO3] + [OH] - [H].</t>
  </si>
  <si>
    <t>K1, K2, and KW are from Millero (1979): KW is a refit of data from Harned</t>
  </si>
  <si>
    <t>and Owen (1958); K1 is a refit of the data of Harned and Davis (1943); and</t>
  </si>
  <si>
    <t>K2 is a refit of the data of Harned and Scholes (1941). Pressure effects on</t>
  </si>
  <si>
    <t>these constants are from Millero (1983).</t>
  </si>
  <si>
    <t>The activity coefficient of H+, fH, does NOT equal 1 at salinity 0 due to</t>
  </si>
  <si>
    <t>liquid junction effects (included in its definition). It has also been found</t>
  </si>
  <si>
    <t>to be electrode dependent. Thus, while the values of pH on the free, total,</t>
  </si>
  <si>
    <t>and seawater scales will coincide at salinity 0, the value on the NBS scale</t>
  </si>
  <si>
    <t>will differ. For these reasons, for this choice only, a pH value is given</t>
  </si>
  <si>
    <t>without reference to a pH scale.</t>
  </si>
  <si>
    <t>Only one set of measurements of K1 and K2 have been made in seawater at</t>
  </si>
  <si>
    <t>salinity &lt; 10. Although the values can be extrapolated to salinity 0, they</t>
  </si>
  <si>
    <t>change by a considerable amount over this interval: between salinities 0 and</t>
  </si>
  <si>
    <t>5, K1 varies by a factor of 2 and K2 varies by a factor of 6.5 to 9.2,</t>
  </si>
  <si>
    <t>depending on temperature; for comparison, between salinities 5 and 35, K1</t>
  </si>
  <si>
    <t>varies by a factor of less than 1.5 and K2 varies by a factor of less than</t>
  </si>
  <si>
    <t>3. Thus, a fit of K1 and K2 for values of salinity in this range would be</t>
  </si>
  <si>
    <t>prone to large uncertainty. For this reason, only values of K1 and K2 valid</t>
  </si>
  <si>
    <t>at salinity 0 (freshwater) are used.</t>
  </si>
  <si>
    <t>Alkalinity</t>
  </si>
  <si>
    <t>The definition of alkalinity (TA) used in this program for Constant Choices</t>
  </si>
  <si>
    <t>except that the contributions of HS, S, and NH3 are not included.</t>
  </si>
  <si>
    <t>For the Peng Choice, the definition of Peng et al. (1987) is used. The main</t>
  </si>
  <si>
    <t>difference is that it is greater by an amount equal to the total phosphate:</t>
  </si>
  <si>
    <t xml:space="preserve"> </t>
  </si>
  <si>
    <t xml:space="preserve">Though this seems small, it can have a large effect on the calculated fCO2. </t>
  </si>
  <si>
    <t>For instance, when fCO2 (or pCO2) is calculated from TA and TCO2, a modest</t>
  </si>
  <si>
    <t xml:space="preserve">phosphate concentration, such as 3 umol/kg-SW, can result in a difference </t>
  </si>
  <si>
    <t xml:space="preserve">of 20 uatm or more, depending on which definition of alkalinity is used.  </t>
  </si>
  <si>
    <t>The definition used for the GEOSECS Choice is from Takahashi et al. (1982):</t>
  </si>
  <si>
    <t>TA = [HCO3] + 2[CO3] + [H2BO3],</t>
  </si>
  <si>
    <t>and for the Freshwater Choice is:</t>
  </si>
  <si>
    <t>In this program values of alkalinities are given in micro-moles per kilogram</t>
  </si>
  <si>
    <t>of seawater (umol/kg-SW).</t>
  </si>
  <si>
    <t>KSO4 Choices</t>
  </si>
  <si>
    <t>KSO4 is defined to be the dissociation constant for the reaction</t>
  </si>
  <si>
    <t>HSO4- = H+ + SO4--;</t>
  </si>
  <si>
    <t>thus,</t>
  </si>
  <si>
    <t>KSO4 = [H] * [SO4] / [HSO4].</t>
  </si>
  <si>
    <t>Two formulations of this are still in current usage: that of Khoo et al.</t>
  </si>
  <si>
    <t>(1977) and that of Dickson (1990a). Although many older papers used values</t>
  </si>
  <si>
    <t>of Khoo et al. (1977), the values of Dickson (1990a) are now recommended.</t>
  </si>
  <si>
    <t>The values of Khoo et al. (1977) are between 15% to 45% lower than those of</t>
  </si>
  <si>
    <t>Dickson, depending mostly on temperature. The main effect of this difference</t>
  </si>
  <si>
    <t>will occur when converting from one pH scale to another, or when working on</t>
  </si>
  <si>
    <t>a scale for which equilibrium constants must be converted (e.g., most</t>
  </si>
  <si>
    <t>constants were determined on either the total scale or the seawater scale).</t>
  </si>
  <si>
    <t>Use of the Dickson values when converting from the total pH scale to the</t>
  </si>
  <si>
    <t>free pH scale will result in pH values which are 0.015 to 0.03 units lower</t>
  </si>
  <si>
    <t>than those obtained using values of Khoo et al. (1977).</t>
  </si>
  <si>
    <t>fCO2 and pCO2</t>
  </si>
  <si>
    <t>The fugacity of CO2 (fCO2) in water is defined to be the fugacity of CO2 in</t>
  </si>
  <si>
    <t>wet (100% water-saturated) air which is in equilibrium with the water. The</t>
  </si>
  <si>
    <t>partial pressure of CO2 in wet air (pCO2) is defined to be the product of</t>
  </si>
  <si>
    <t>the mole fraction of CO2 in wet air and the total pressure. This is the same</t>
  </si>
  <si>
    <t>as the product of the mole fraction of CO2 in dry air [xCO2(dry)] and (ptot</t>
  </si>
  <si>
    <t>- pH2O), where pH2O is the vapor pressure of water above seawater. At</t>
  </si>
  <si>
    <t>pressures of the order of 1 atm, fCO2 in air is about 0.3% lower than the</t>
  </si>
  <si>
    <t xml:space="preserve">     should be ln {[H+]SWS/[H+]T}.</t>
  </si>
  <si>
    <t xml:space="preserve">   * On p. 2061 in the equation for ln KHSO4: 114.273 should be 114.723 and</t>
  </si>
  <si>
    <t xml:space="preserve">     2968/T should be 2698/T.</t>
  </si>
  <si>
    <t xml:space="preserve">   * On p. 2061: the values for the concentrations of SO4, F, and B should</t>
  </si>
  <si>
    <t xml:space="preserve">   * On p. 898 in Table 1, the F1 in eq. 5 is negative that in eq. 6.</t>
  </si>
  <si>
    <t>Millero, F. 1979. The thermodynamics of the carbonate system in seawater.</t>
  </si>
  <si>
    <t xml:space="preserve">   * On p. 1651, in eq. 4 the expression C/T should be C*T.</t>
  </si>
  <si>
    <t>Chapter 43. In J. P. Riley and R. Chester (eds.), Chemical Oceanography.</t>
  </si>
  <si>
    <t>On p. 51, for Table 43.29 to be correct,</t>
  </si>
  <si>
    <t xml:space="preserve">   * in eq. 94 the value -26.69 should be -25.59</t>
  </si>
  <si>
    <t xml:space="preserve">   * in eq. 95 the term .1700t should be .0800t</t>
  </si>
  <si>
    <t xml:space="preserve">   * On p. 664, equation 32 is Khoo's (Khoo et al. 1977) value of KHSO4, but</t>
  </si>
  <si>
    <t xml:space="preserve">     on p. 667 it is stated that this is unreliable and should not be used.</t>
  </si>
  <si>
    <t xml:space="preserve">     It may be that what was meant (on p. 664) was that this is the value of</t>
  </si>
  <si>
    <t xml:space="preserve">     KHSO4 which was used to convert pH scales in that study.</t>
  </si>
  <si>
    <t xml:space="preserve">   * On p. 667, the first full paragraph: it is stated that the values of</t>
  </si>
  <si>
    <t xml:space="preserve">     KHSO4 were determined from eq. 30 after Roy's constants were converted</t>
  </si>
  <si>
    <t xml:space="preserve">     to the SWS pH scale. The value of KHSO4 is needed to convert pH scales</t>
  </si>
  <si>
    <t xml:space="preserve">     and can't be found from eq. 30.</t>
  </si>
  <si>
    <t xml:space="preserve">   * On p. 668 it is stated that the total pH scale should be used, but in</t>
  </si>
  <si>
    <t xml:space="preserve">     the next paragraph Roy's constants are converted to the seawater scale,</t>
  </si>
  <si>
    <t xml:space="preserve">     and this scale is used for most of the rest of the paper.</t>
  </si>
  <si>
    <t xml:space="preserve">   * On p. 669, in the title for Fig. 10: Eqs. 46 and 47 should be 48 and 49</t>
  </si>
  <si>
    <t xml:space="preserve">     and Eqs. 48 and 49 should be 50 and 51.</t>
  </si>
  <si>
    <t xml:space="preserve">   * On p. 669, eq. 52: KB is on the total pH scale (this wasn't stated but</t>
  </si>
  <si>
    <t>Takahashi et al. 1982).</t>
  </si>
  <si>
    <t>Pressure Effects</t>
  </si>
  <si>
    <t>The equilibrium constants depend on pressure as well as on temperature and</t>
  </si>
  <si>
    <t>salinity. Data are scarce on the effects of pressure on these constants in</t>
  </si>
  <si>
    <t>seawater, and most values are estimated from molal volume data. Few</t>
  </si>
  <si>
    <t>measurements have been made for K1 and K2 (of carbonic acid) and KB (of</t>
  </si>
  <si>
    <t>boric acid) at only a few combinations of temperature, salinity, and</t>
  </si>
  <si>
    <t>pressure in seawater (mostly in artificial seawater). All of the work</t>
  </si>
  <si>
    <t>assumed that fH, the activity coefficient of H+ (including liquid junction</t>
  </si>
  <si>
    <t>effects), is independent of pressure. Some of the pH scale conversions do</t>
  </si>
  <si>
    <t>depend on pressure, however. Values of the constants should be converted to</t>
  </si>
  <si>
    <t>the seawater or NBS pH scale WITHOUT pressure-corrected pH scale</t>
  </si>
  <si>
    <t>conversions, then corrected for pressure, then converted to the desired pH</t>
  </si>
  <si>
    <t>scale WITH pressure-corrected pH scale conversions. Measurements have also</t>
  </si>
  <si>
    <t>been made for the effects of pressure on the solubility of calcite and</t>
  </si>
  <si>
    <t>aragonite in seawater.</t>
  </si>
  <si>
    <t>Depth in meters and pressure in decibars are used interchangeably in this</t>
  </si>
  <si>
    <t>program. They differ by only 3% at 10,000 dbar and less at lower pressures,</t>
  </si>
  <si>
    <t>well within the uncertainties of the pressure effects on the constants. No</t>
  </si>
  <si>
    <t>salinity dependence of the pressure corrections is used in this program.</t>
  </si>
  <si>
    <t>For the Freshwater Choice, the effects of pressure on K1, K2, and KW are</t>
  </si>
  <si>
    <t>from Millero (1983).</t>
  </si>
  <si>
    <t>Peng et al. (1987) didn't consider the effects of pressure, but they are</t>
  </si>
  <si>
    <t>included in the program CO2SYS for the Peng Choice. For Constant Choices 1</t>
  </si>
  <si>
    <t>through 5 and the Peng Choice, the effects of pressure on the values of KP1,</t>
  </si>
  <si>
    <t>KP2, and KP3 are from Millero (1995). The only mention of KSi was in Millero</t>
  </si>
  <si>
    <t>(1995) where it is stated that the values have been estimated from the</t>
  </si>
  <si>
    <t>values of boric acid, but they are not listed in the table. In the program</t>
  </si>
  <si>
    <t>CO2SYS, the values used are the same as those for the pressure effects on KB</t>
  </si>
  <si>
    <t>given in Millero (1995). For the effects of pressure on KW, the fit given in</t>
  </si>
  <si>
    <t xml:space="preserve">Millero (1983) is used. GEOSECS did not include the effects of OH, phosphate, </t>
  </si>
  <si>
    <t>or silicate, so these are irrelevant for that choice.</t>
  </si>
  <si>
    <t>For the GEOSECS Choice and the Peng Choice, the effects of pressure on K1,</t>
  </si>
  <si>
    <t>K2, and KB are those given in the GEOSECS report (Takahashi et al. 1982).</t>
  </si>
  <si>
    <t>The reference given there is Culberson and Pytkowicz (1968), but the fits</t>
  </si>
  <si>
    <t>are actually those from Edmond and Gieskes (1970) who in turn quote Li</t>
  </si>
  <si>
    <t>(personal communication). In the fit for the correction for K2 due to</t>
  </si>
  <si>
    <t>pressure, the GEOSECS report had the value 26.4, but the value 16.4 was</t>
  </si>
  <si>
    <t xml:space="preserve">used, which was consistent with their calculations as well as with the fit </t>
  </si>
  <si>
    <t xml:space="preserve">given in Edmond and Gieskes (1970). The effects of pressure on the </t>
  </si>
  <si>
    <t>solubility of calcite and aragonite are also those from Takahashi et al.</t>
  </si>
  <si>
    <t xml:space="preserve">(1982) (the original reference given in that work for the pressure </t>
  </si>
  <si>
    <t xml:space="preserve">corrections is not valid and the fit used appears to be new to </t>
  </si>
  <si>
    <t>from Millero (1995), and those for KB are from Millero (1979) (but without</t>
  </si>
  <si>
    <t>the salinity dependence). These fits are from the data of Culberson and</t>
  </si>
  <si>
    <t>Pytkowicz (1968). The effects of pressure on KSO4 and KF are from Millero</t>
  </si>
  <si>
    <t>(1995). Note that typographic errors in Millero (1995) include a factor of</t>
  </si>
  <si>
    <t>1000 left out of the definition of Kappa and an incorrect value and</t>
  </si>
  <si>
    <t>incorrect units for the gas constant R. The pressure correction for Ksp for</t>
  </si>
  <si>
    <t>calcite is from Ingle (1975) and that for aragonite is from Millero (1979).</t>
  </si>
  <si>
    <t>pH Scales</t>
  </si>
  <si>
    <t>The various pH scales are inter-related by the following equations:</t>
  </si>
  <si>
    <t>aH = 10 ^ (-pHNBS) = fH * Hsws, and</t>
  </si>
  <si>
    <t>Hfree = Htot / (1 + TS/KSO4) = Hsws / (1 + TS/KSO4 + TF/KF),</t>
  </si>
  <si>
    <t xml:space="preserve">where aH is the activity and fH is the activity coefficient of the H+ ion </t>
  </si>
  <si>
    <t xml:space="preserve">(this includes liquid junction effects), TS and TF are the concentrations </t>
  </si>
  <si>
    <t xml:space="preserve">of SO4-- and fluorine, and KSO4 and KF are the dissociation constants of </t>
  </si>
  <si>
    <t>HSO4- and HF in seawater.</t>
  </si>
  <si>
    <t>The conversions depend on temperature, salinity, and pressure. At 20 deg C,</t>
  </si>
  <si>
    <t>salinity 35, and 1 atm, pH values on the total scale are (about)</t>
  </si>
  <si>
    <t xml:space="preserve">   * 0.09 units lower than those on the free scale</t>
  </si>
  <si>
    <t xml:space="preserve">   * 0.01 units higher than those on the seawater scale</t>
  </si>
  <si>
    <t xml:space="preserve">   * 0.13 units lower than those on the NBS scale</t>
  </si>
  <si>
    <t>The concentration units for aH on the NBS scale are mol/kg-H2O. The</t>
  </si>
  <si>
    <t>concentration units used in the program CO2SYS for [H+] on the other scales</t>
  </si>
  <si>
    <t>are mol/kg-SW (note that the free scale was originally defined in units of</t>
  </si>
  <si>
    <t>mol/kg-H2O). The difference between mol/kg-SW and mol/kg-H2O is about 0.015</t>
  </si>
  <si>
    <t>pH units at salinity 35 (the difference is nearly proportional to salinity).</t>
  </si>
  <si>
    <t>The seawater scale was formerly referred to as the total scale, and each is</t>
  </si>
  <si>
    <t>still sometimes referred to as the other in the literature.</t>
  </si>
  <si>
    <t>The fit of fH used in this program is valid from salinities 20 to 40. fH has</t>
  </si>
  <si>
    <t>been found to be electrode-dependent, and does NOT equal 1 at salinity 0 due</t>
  </si>
  <si>
    <t>to the liquid junction potential.</t>
  </si>
  <si>
    <t>Values on the NBS pH scale are only accurate to (at best) 0.005.</t>
  </si>
  <si>
    <t>All work on pressure effects on pH has assumed that fH is independent of</t>
  </si>
  <si>
    <t>pressure.</t>
  </si>
  <si>
    <t>For discussions of the various pH scales see Dickson (1984, 1993), Millero</t>
  </si>
  <si>
    <t>et al. (1993), Butler (1992), or Culberson (1981). Attention is required</t>
  </si>
  <si>
    <t>because in some of these references the distinction between the total and</t>
  </si>
  <si>
    <t>the seawater pH scales was not made.</t>
  </si>
  <si>
    <t>Further Information about CO2SYS.EXE</t>
  </si>
  <si>
    <t>For questions, comments, please contact:</t>
  </si>
  <si>
    <t>Ernie Lewis or Doug Wallace</t>
  </si>
  <si>
    <t>Department of Applied Science</t>
  </si>
  <si>
    <t>P. O. Box 5000</t>
  </si>
  <si>
    <t>Brookhaven National Laboratory</t>
  </si>
  <si>
    <t>Upton, NY 11973-5000</t>
  </si>
  <si>
    <t>elewis@bnl.gov</t>
  </si>
  <si>
    <t>(516)344-7406</t>
  </si>
  <si>
    <t>wallace@bnl.gov</t>
  </si>
  <si>
    <t>(516)344-2945</t>
  </si>
  <si>
    <t>Further Information about co2sys.xls</t>
  </si>
  <si>
    <t>For questions, comments, or to report any problems please contact:</t>
  </si>
  <si>
    <t>Greg Pelletier</t>
  </si>
  <si>
    <t>Department of Ecology</t>
  </si>
  <si>
    <t>P.O. Box 47600</t>
  </si>
  <si>
    <t>Olympia, WA 98504-7600</t>
  </si>
  <si>
    <t>voice: 360.407.6485</t>
  </si>
  <si>
    <t>fax: 360.407.6884</t>
  </si>
  <si>
    <t>email: gpel461@ecy.wa.gov</t>
  </si>
  <si>
    <t>Further reading</t>
  </si>
  <si>
    <t>A very useful reference for all aspects of the CO2 system in seawater is the</t>
  </si>
  <si>
    <t>Handbook of Methods for the Analysis of the Various Parameters of the Carbon</t>
  </si>
  <si>
    <t>Dioxide System in Sea Water (DOE 1994). The web site for information on this</t>
  </si>
  <si>
    <t>reference is: http://www-mpl.ucsd.edu/people/adickson/CO2_QC/. A listing of</t>
  </si>
  <si>
    <t xml:space="preserve">the errata in this handbook is also available at this site. </t>
  </si>
  <si>
    <t xml:space="preserve">Other particularly useful references are Park (1969), Skirrow (1975), Butler </t>
  </si>
  <si>
    <t xml:space="preserve">(1991), Millero and Sohn (1992), and Millero (1995) (see the Appendix for a </t>
  </si>
  <si>
    <t xml:space="preserve">listing of some of the errata in this paper). </t>
  </si>
  <si>
    <t xml:space="preserve">The Appendix to this report also includes additional relevant references as </t>
  </si>
  <si>
    <t>well as listing some typographic errors found in the literature.</t>
  </si>
  <si>
    <t>Acknowledgements</t>
  </si>
  <si>
    <t>Significant help, advice, and clarification on all aspects of the CO2 system</t>
  </si>
  <si>
    <t>in seawater were supplied by Dr. Andrew Dickson of Scripps Institution of</t>
  </si>
  <si>
    <t>Oceanography. Many helpful comments were supplied by Dr. Rik Wanninkof of</t>
  </si>
  <si>
    <t>NOAA/AOML/OCD and Dr. Dave Chipman of Lamont-Doherty Earth Observatory. We</t>
  </si>
  <si>
    <t>would also like to acknowledge Dr. Frank Millero of the Rosenstiel School of</t>
  </si>
  <si>
    <t>Marine and Atmospheric Sciences at the University of Miami for his numerous</t>
  </si>
  <si>
    <t xml:space="preserve">contributions to this field. </t>
  </si>
  <si>
    <t>Constant Choices 1 to 5, 9, and 10</t>
  </si>
  <si>
    <t>Constant Choices 1 to 5, 9, and 10 differ only in the values of K1 and K2 and are</t>
  </si>
  <si>
    <t>1 to 5, 9, and 10 is the same as that of Dickson (1981):</t>
  </si>
  <si>
    <t>For the Constant Choices 1 to 5, 9, and 10, the effects of pressure on K1 and K2 are</t>
  </si>
  <si>
    <t xml:space="preserve">measurements become steadily more accurate and investigators seek to evaluate </t>
  </si>
  <si>
    <t>very small changes in concentrations, these issues grow in importance.</t>
  </si>
  <si>
    <t>Lewis and Wallace (1998) recently released a computer program for use</t>
  </si>
  <si>
    <t>and perhaps help to clear up some of the confusion. Given any two of the</t>
  </si>
  <si>
    <t>four measurable carbonate system parameters, the program calculates the</t>
  </si>
  <si>
    <t>other two, together with the inorganic carbon speciation and the saturation</t>
  </si>
  <si>
    <t>of calcite and aragonite. The program also allows the user to select from</t>
  </si>
  <si>
    <t>four different pH scales and several sets of dissociation constants widely</t>
  </si>
  <si>
    <t>cited in the literature.</t>
  </si>
  <si>
    <t>The original CO2SYS.EXE program was written in compiled Quick-Basic and</t>
  </si>
  <si>
    <t>runs under DOS on most personal computers. As a result, the user interface was</t>
  </si>
  <si>
    <t>Cai, W.-J., and Y. Wang. 1998. The chemistry, fluxes, and sources</t>
  </si>
  <si>
    <t>of carbon dioxide in the estuarine waters of the Satilla and Altamaha Rivers,</t>
  </si>
  <si>
    <t>Georgia. Limn.Oceanogr. 43 (4) 1998 657-668.</t>
  </si>
  <si>
    <t>Culberson, C. H. 1981. Direct potentiometry. pp. 187-261. In M. Whitfield</t>
  </si>
  <si>
    <t>and D. Jagner (eds.), Marine Electrochemistry: A Practical Introduction.</t>
  </si>
  <si>
    <t>John Wiley and Sons, New York.</t>
  </si>
  <si>
    <t>Culberson, C. H., and R. M. Pytkowicz. 1968. Effect of pressure on carbonic</t>
  </si>
  <si>
    <t>acid, boric acid, and the pH of seawater. Limnology and Oceanography</t>
  </si>
  <si>
    <t>13:403-417.</t>
  </si>
  <si>
    <t>Culkin, F. 1965. The major constituents of sea water. pp. 121-161. In J. P.</t>
  </si>
  <si>
    <t>Riley and G. Skirrow (eds.), Chemical Oceanography. Academic Press, New York.</t>
  </si>
  <si>
    <t>Dickson, A. G. 1981. An exact definition of total alkalinity and a procedure</t>
  </si>
  <si>
    <t>for the estimation of alkalinity and total inorganic carbon from titration</t>
  </si>
  <si>
    <t>data. Deep-Sea Research 28A:609-623.</t>
  </si>
  <si>
    <t>Dickson, A. G. 1984. pH scales and proton-transfer reactions in saline media</t>
  </si>
  <si>
    <t>such as sea water. Geochemica et Cosmochemica Acta 48:2299-2308.</t>
  </si>
  <si>
    <t xml:space="preserve">Dickson, A. G. 1990a. Standard potential of the reaction: AgCl(s) + 1/2 H2(g) </t>
  </si>
  <si>
    <t xml:space="preserve">synthetic seawater from 273.15 to 318.15 K. Journal of Chemical </t>
  </si>
  <si>
    <t>Thermodynamics 22:113-127.</t>
  </si>
  <si>
    <t>Dickson, A. G. 1990b. Thermodynamics of the dissociation of boric acid in</t>
  </si>
  <si>
    <t>synthetic seawater from 273.15 to 318.15 K. Deep-Sea Research 37:755-766.</t>
  </si>
  <si>
    <t>Dickson, A. G. 1993. pH buffers for sea water media based on the total</t>
  </si>
  <si>
    <t>hydrogen concentration scale. Deep-Sea Research 40:107-118.</t>
  </si>
  <si>
    <t>Dickson, A. G., and F. J. Millero. 1987. A comparison of the equilibrium</t>
  </si>
  <si>
    <t>constants for the dissociation of carbonic acid in seawater media. Deep-Sea</t>
  </si>
  <si>
    <t>Research 34:1733-1743.</t>
  </si>
  <si>
    <t>--. 1989. Corrigenda. Deep-Sea Research 36:983.</t>
  </si>
  <si>
    <t>Dickson, A. G., and J. P. Riley. 1978. The effect of analytical error on the</t>
  </si>
  <si>
    <t>evaluation of the components of the aquatic carbon-dioxide system. Marine</t>
  </si>
  <si>
    <t>Chemistry 6:77-85.</t>
  </si>
  <si>
    <t>Dickson, A. G., and J. P. Riley. 1979. The estimation of acid dissociation</t>
  </si>
  <si>
    <t>constants in seawater media from potentiometric titrations with strong base.</t>
  </si>
  <si>
    <t>I. The ionic product of water - KW. Marine Chemistry 7:89-99.</t>
  </si>
  <si>
    <t>DOE (U.S. Department of Energy). 1994. Handbook of methods for the analysis</t>
  </si>
  <si>
    <t>of the various parameters of the carbon dioxide system in sea water. Version</t>
  </si>
  <si>
    <t xml:space="preserve">2. ORNL/CDIAC-74. A. G. Dickson and C. Goyet (eds.), Carbon Dioxide </t>
  </si>
  <si>
    <t>Information Analysis Center, Oak Ridge National Laboratory, Oak Ridge, Tenn.</t>
  </si>
  <si>
    <t xml:space="preserve">Edmond, J. M., and J. M. T. M. Gieskes. 1970. On the calculation of the </t>
  </si>
  <si>
    <t>degree of saturation of seawater with respect to calcium carbonate under</t>
  </si>
  <si>
    <t>in situ conditions. Geochemica et Cosmochemica Acta 34:1261-1291.</t>
  </si>
  <si>
    <t xml:space="preserve">  </t>
  </si>
  <si>
    <t>Goyet, C., and A. Poisson. 1989. New determination of carbonic acid</t>
  </si>
  <si>
    <t>dissociation constants in seawater as a function of temperature and</t>
  </si>
  <si>
    <t>salinity. Deep-Sea Research 36:1635-1654.</t>
  </si>
  <si>
    <t>Hansson, I. 1973a. A new set of acidity constants for carbonic acid and</t>
  </si>
  <si>
    <t>boric acid in sea water. Deep-Sea Research 20:461-478.</t>
  </si>
  <si>
    <t>Hansson, I. 1973b. The determination of dissociation constants of carbonic</t>
  </si>
  <si>
    <t>acid in synthetic sea water in the salinity range of 20-40 ppt and</t>
  </si>
  <si>
    <t>temperature range of 5-30 deg C. Acta Chemica Scandanavia 27:931-944.</t>
  </si>
  <si>
    <t>Harned, H. S., and R. Davis, Jr. 1943. The ionization constant of carbonic</t>
  </si>
  <si>
    <t>acid in water and the solubility of carbon dioxide in water and aqueous salt</t>
  </si>
  <si>
    <t>solutions from 0 to 50 deg. Journal of the American Chemical Society</t>
  </si>
  <si>
    <t>65:2030-2037.</t>
  </si>
  <si>
    <t>Harned, H. S., and B. B. Owen. 1958. The Physical Chemistry of Electrolyte</t>
  </si>
  <si>
    <t>Solutions. American Chemical Society Monograph Series. Reinhold Pub. Corp.,</t>
  </si>
  <si>
    <t>New York.</t>
  </si>
  <si>
    <t>Harned, H. S., and S. R. Scholes, Jr. 1941. The ionization constant of HCO3-</t>
  </si>
  <si>
    <t>from 0 to 50 deg. Journal of the American Chemical Society 43:1706-1709.</t>
  </si>
  <si>
    <t>Ingle, S. E. 1975. Solubility of calcite in the ocean. Marine Chemistry</t>
  </si>
  <si>
    <t>3:301-319.</t>
  </si>
  <si>
    <t>Ingle, S. E., C. H. Culberson, J. E. Hawley, and R. M. Pytkowicz. 1973. The</t>
  </si>
  <si>
    <t>solubility of calcite in seawater at atmospheric pressure and 35 ppt</t>
  </si>
  <si>
    <t>salinity. Marine Chemistry 1:295-307.</t>
  </si>
  <si>
    <t>Kester, D. R., and R. M. Pytkowicz. 1967. Determination of the apparent</t>
  </si>
  <si>
    <t>dissociation constants of phosphoric acid in seawater. Limnology and</t>
  </si>
  <si>
    <t>Oceanography 12:243-252.</t>
  </si>
  <si>
    <t>Khoo, K. H., R. W. Ramette, C. H. Culberson, and R. G. Bates. 1977.</t>
  </si>
  <si>
    <t>Determination of hydrogen ion concentrations in seawater from 5 to 40 deg C:</t>
  </si>
  <si>
    <t>standard potentials at salinities from 20 to 45 ppt. Analytical Chemistry</t>
  </si>
  <si>
    <t>49(1):29-34.</t>
  </si>
  <si>
    <t>Li, Y. H., T. Takahashi, and W. S. Broecker. 1969. Degree of saturation of</t>
  </si>
  <si>
    <t>CaCO3 in the oceans. Journal of Geophysical Research 74:5507-5525.</t>
  </si>
  <si>
    <t>Lyman, J. 1957. Buffer mechanism of sea water. PhD. thesis. University of</t>
  </si>
  <si>
    <t>California, Los Angeles.</t>
  </si>
  <si>
    <t>Mehrbach, C., C. H. Culberson, J. E. Hawley, and R. M. Pytkowicz. 1973.</t>
  </si>
  <si>
    <t>Measurement of the apparent dissociation constants of carbonic acid in</t>
  </si>
  <si>
    <t>seawater at atmospheric pressure. Limnology and Oceanography 18:897-907.</t>
  </si>
  <si>
    <t>Millero, F. J. 1979. The thermodynamics of the carbonate system in seawater.</t>
  </si>
  <si>
    <t>Geochemica et Cosmochemica Acta 43:1651-1661.</t>
  </si>
  <si>
    <t>Millero, F. J. 1983. Influence of pressure on chemical processes in the sea.</t>
  </si>
  <si>
    <t>pp. 1-88. In J. P. Riley and R. Chester (eds.), Chemical Oceanography.</t>
  </si>
  <si>
    <t>Academic Press, New York.</t>
  </si>
  <si>
    <t>Millero, F. J. 1995. Thermodynamics of the carbon dioxide system in the</t>
  </si>
  <si>
    <t>oceans. Geochemica et Cosmochemica Acta 59:661-677.</t>
  </si>
  <si>
    <t>Millero, F. J., and M. L. Sohn. 1992. Chemical Oceanography. CRC Press, Boca</t>
  </si>
  <si>
    <t>Raton, Fla.</t>
  </si>
  <si>
    <t>Millero, F. J., J. Z. Zhang, S. Fiol, S. Sotolongo, R. N. Roy, K. Lee, and</t>
  </si>
  <si>
    <t>S. Mane. 1993. The use of buffers to measure the pH of seawater. Marine</t>
  </si>
  <si>
    <t>Chemistry 44:143-152.</t>
  </si>
  <si>
    <t>Morris, A. W., and J. P. Riley. 1966. The bromide/chlorinity and sulphate/</t>
  </si>
  <si>
    <t>chlorinity ratio in sea water. Deep-Sea Research 13:699-705.</t>
  </si>
  <si>
    <t>Mucci, A. 1983. The solubility of calcite and aragonite in seawater at</t>
  </si>
  <si>
    <t>various salinities, temperatures, and one atmosphere total pressure.</t>
  </si>
  <si>
    <t>American Journal of Science 283:781-799.</t>
  </si>
  <si>
    <t>Murray, C. N., and J. P. Riley. 1971. The solubility of gases in distilled</t>
  </si>
  <si>
    <t>water and seawater - IV. Carbon dioxide. Deep-Sea Research 18:533-541.</t>
  </si>
  <si>
    <t>Park, P. K. 1969. Oceanic CO2 system: an evaluation of ten methods of</t>
  </si>
  <si>
    <t>investigation. Limnology and Oceanography 14:179-186.</t>
  </si>
  <si>
    <t>Peng, T. H., T. Takahashi, W. S. Broecker, and J. Olafsson. 1987. Seasonal</t>
  </si>
  <si>
    <t>variability of carbon dioxide, nutrients and oxygen in the northern North</t>
  </si>
  <si>
    <t>not include effects of OH, phosphate, or silicate. No correction was</t>
  </si>
  <si>
    <t>applied for the non-ideality of CO2 (thus implying fCO2 and pCO2 are the</t>
  </si>
  <si>
    <t>same). The boron concentration was from Culkin (1965) and is about 1% lower</t>
  </si>
  <si>
    <t>than that used for Constant Choices 1 to 5. A fit for fH was given for</t>
  </si>
  <si>
    <t>salinities of 20-40.</t>
  </si>
  <si>
    <t>Some typographic errors in the GEOSECS report were noted and corrected: in</t>
  </si>
  <si>
    <t>the pressure dependence of K2, the given value 26.4 should be 16.4, and in</t>
  </si>
  <si>
    <t>the expression for ln KW, C/ln T should be C*ln T. That these are correct</t>
  </si>
  <si>
    <t>can be seen by checking the original references for Takahashi et al. (1982).</t>
  </si>
  <si>
    <t>The ratio Ksp(aragonite) / Ksp(calcite) is given as 1.48 in the original</t>
  </si>
  <si>
    <t>reference (Berner 1976), but the value of 1.45 given in the GEOSECS report</t>
  </si>
  <si>
    <t xml:space="preserve">was used both in that work and in this program for the GEOSECS Choice. </t>
  </si>
  <si>
    <t xml:space="preserve">The GEOSECS report also contains a discussion on the effects of OH, </t>
  </si>
  <si>
    <t xml:space="preserve">phosphate, and silicate (see pp. 79-82, especially Table 1 on p. 81, of </t>
  </si>
  <si>
    <t xml:space="preserve">Takahashi et al. 1982). From this discussion, it can be seen how important </t>
  </si>
  <si>
    <t>the effects of these species can be, especially for the calculated value of</t>
  </si>
  <si>
    <t xml:space="preserve">fCO2 (or pCO2). The GEOSECS table also has a typo: 17.8 for Aw in Pacific </t>
  </si>
  <si>
    <t>Surface Water should be 7.8.</t>
  </si>
  <si>
    <t>Peng Choice</t>
  </si>
  <si>
    <t>This choice replicates the calculation scheme used by Peng et al. (1987),</t>
  </si>
  <si>
    <t>Sillen, L. G., A. E. Martell, and J. Bjerrum. 1964. Stability constants of</t>
  </si>
  <si>
    <t>metal-ion complexes, 2nd ed. Special Publication no. 17. Chemical Society</t>
  </si>
  <si>
    <t xml:space="preserve">(Great Britain), London. [Referenced in Takahashi et al. 1982 as Sillen and </t>
  </si>
  <si>
    <t>Martel (1964).]</t>
  </si>
  <si>
    <t>Skirrow, G. 1975. The dissolved gases - carbon dioxide. pp. 1-192. In J. P.</t>
  </si>
  <si>
    <t>Riley and G. Skirrow (eds.), Chemical Oceanography, Vol. 2. Academic Press,</t>
  </si>
  <si>
    <t>Takahashi, T., R. T. Williams, and D. L. Bos. 1982. Carbonate chemistry. pp.</t>
  </si>
  <si>
    <t>77-83. In W. S. Broecker, D. W. Spencer, and H. Craig, GEOSECS Pacific</t>
  </si>
  <si>
    <t>Expedition, Volume 3, Hydrographic Data 1973-1974. National Science</t>
  </si>
  <si>
    <t>Foundation, Washington, D.C.</t>
  </si>
  <si>
    <t>Uppstrom, L. R. 1974. The boron/chloronity ratio of deep-sea water from the</t>
  </si>
  <si>
    <t>Pacific Ocean. Deep-Sea Research 21:161-162.</t>
  </si>
  <si>
    <t>Weiss, R. F. 1974. Carbon dioxide in water and seawater: the solubility of a</t>
  </si>
  <si>
    <t>non-ideal gas. Marine Chemistry 2:203-215.</t>
  </si>
  <si>
    <t>Weiss, R. F., and B. A. Price. 1980. Nitrous oxide solubility in water and</t>
  </si>
  <si>
    <t>seawater. Marine Chemistry 8:347-359.</t>
  </si>
  <si>
    <t>APPENDIX: Typographic Errors</t>
  </si>
  <si>
    <t>The Appendix lists errors that have been found in papers related to this</t>
  </si>
  <si>
    <t>topic as well as in references for the program documentation; however, the</t>
  </si>
  <si>
    <t>listing is not meant to be comprehensive. Although many corrections are</t>
  </si>
  <si>
    <t>extremely minor, it is hoped that this compilation will save both time and</t>
  </si>
  <si>
    <t>effort for those who use it.</t>
  </si>
  <si>
    <t>Last revision version 1.08, 10-13-97.</t>
  </si>
  <si>
    <t>********************</t>
  </si>
  <si>
    <t>Campbell, D. M., F. J. Millero, R. Roy, L. Roy, M. Lawson, K. M. Vogel, and</t>
  </si>
  <si>
    <t>C. Porter-Moore. 1993. The standard potential for the hydrogen-silver,</t>
  </si>
  <si>
    <t>silver chloride electrode in synthetic seawater. Marine Chemistry</t>
  </si>
  <si>
    <t>44:221-233.</t>
  </si>
  <si>
    <t xml:space="preserve">   * On p. 230 in eq. 37: ln KHSO4 should be log10 (KHSO4).</t>
  </si>
  <si>
    <t>Chen, H., R. Wanninkhof, R. A. Feely, and D. Greeley. 1995. Measurement of</t>
  </si>
  <si>
    <t>fugacity of carbon dioxide in seawater: an evaluation of a method based on</t>
  </si>
  <si>
    <t>infrared analysis. NOAA Technical Memorandum ERL AOML-85. Atlantic</t>
  </si>
  <si>
    <t>Oceanographic and Meteorologic Laboratory, Miami.</t>
  </si>
  <si>
    <t xml:space="preserve">   * On p. 15, Table 2 states: "1. In our work (expressed in terms of the</t>
  </si>
  <si>
    <t xml:space="preserve">     seawater hydrogen scale):", but the formula for KB given is on the</t>
  </si>
  <si>
    <t xml:space="preserve">     total scale and the formulae for KP2, KP3, and KSi are on the NBS</t>
  </si>
  <si>
    <t xml:space="preserve">     scale. It is unclear if these were converted.</t>
  </si>
  <si>
    <t xml:space="preserve">   * On pp. 15 and 16 the formulae for Total Borate (TB) are incorrect. They</t>
  </si>
  <si>
    <t xml:space="preserve">     should read: Total Borate (TB) = .00001188 * S for cases 1 and 3, and</t>
  </si>
  <si>
    <t xml:space="preserve">     .00001173 * S for case 2.</t>
  </si>
  <si>
    <t xml:space="preserve">   * On p. 24 two lines under Table 3: the expression dXCO2/dT should be</t>
  </si>
  <si>
    <t xml:space="preserve">     d(lnXCO2)/dT.</t>
  </si>
  <si>
    <t>Clayton, T. D., and R. H. Byrne. 1993. Spectrophotometric seawater pH</t>
  </si>
  <si>
    <t>measurements: total hydrogen ion concentration scale calibration of m-cresol</t>
  </si>
  <si>
    <t>purple and at-sea results. Deep-Sea Research 40: 2115-2129.</t>
  </si>
  <si>
    <t xml:space="preserve">   * On p. 2119 in eq. 12b: the second -47.986 should be +114.723.</t>
  </si>
  <si>
    <t>Clayton, T. D., R. H. Byrne, J. A. Breland, R. A. Feely, F. J. Millero, D.</t>
  </si>
  <si>
    <t>M. Campbell, P. P. Murphy, and M. F. Lamb. 1995. The role of pH measurements</t>
  </si>
  <si>
    <t>in modern oceanic CO2-system characterization: Precision and thermodynamic</t>
  </si>
  <si>
    <t>consistency. Deep-Sea Research II 42:411-429.</t>
  </si>
  <si>
    <t xml:space="preserve">   * In Table 2 on p. 419: in the equation for pK1M, 9.794 should be 9.7944.</t>
  </si>
  <si>
    <t xml:space="preserve">   * In Table 2 on p. 419: KF as given is in units mol/kg-H2O.</t>
  </si>
  <si>
    <t xml:space="preserve">   * On p. 427, the reference for Johnson et al. (1992) should be v. 64.</t>
  </si>
  <si>
    <t>synthetic seawater from 273.15 to 318.15 K. Journal of Chemical</t>
  </si>
  <si>
    <t xml:space="preserve">   * The title has two "and"'s.</t>
  </si>
  <si>
    <t xml:space="preserve">   * On p. 121 in Table 4: the term e9 should be e8.</t>
  </si>
  <si>
    <t xml:space="preserve">   * On p. 756 after Table 1: the expression ms = ms*I35/Is should be ms =</t>
  </si>
  <si>
    <t xml:space="preserve">     m35*Is/I35.</t>
  </si>
  <si>
    <t xml:space="preserve">   * On p. 762 in eq. 18: alpha-sub-2 should be alpha-sub-3.</t>
  </si>
  <si>
    <t xml:space="preserve">   * On p. 1738, the expression 2(A-1) in the second eq. should be (2A-1).</t>
  </si>
  <si>
    <t xml:space="preserve">   * Corrigenda. 1989. Deep-Sea Research 36:983.</t>
  </si>
  <si>
    <t xml:space="preserve">        o This corrects a typo in p. 1739 in Table 4: in the equation for</t>
  </si>
  <si>
    <t xml:space="preserve">          pK2* for Hansson the .000116 *S2 should be .000132 *S2.</t>
  </si>
  <si>
    <t xml:space="preserve">        o Also, on p. 1740 in Table 5, the second equation should read pK2*,</t>
  </si>
  <si>
    <t xml:space="preserve">          not pK1*.</t>
  </si>
  <si>
    <t xml:space="preserve">        o Also, in the third equation in Table 5 on p. 1740, the term .00668</t>
  </si>
  <si>
    <t xml:space="preserve">          S should be .0068 S.</t>
  </si>
  <si>
    <t>Dickson, A. G., and J. P. Riley. 1979a. The estimation of acid dissociation</t>
  </si>
  <si>
    <t xml:space="preserve">   * On p. 97 in equation 7: the .9415 should be .09415.</t>
  </si>
  <si>
    <t>Dickson, A. G., and J. P. Riley. 1979b. The estimation of acid dissociation</t>
  </si>
  <si>
    <t>II. The dissociation of phosphoric acid. Marine Chemistry 7:101-109.</t>
  </si>
  <si>
    <t xml:space="preserve">   * From A. Dickson, personal communication: in the equation for pK2P in</t>
  </si>
  <si>
    <t xml:space="preserve">     the abstract and in Table II on p. 109: 4.176 should be 4.196.</t>
  </si>
  <si>
    <t xml:space="preserve">   * On p. 109 in Table II: units should be mol/kg-soln, not mol/kg-H2O.</t>
  </si>
  <si>
    <t>Goyet, C., and E. Peltzer. 1994. Comparison of the August-September 1991 and</t>
  </si>
  <si>
    <t>1979 surface partial pressure of CO2 distribution in the Equatorial Pacific</t>
  </si>
  <si>
    <t>Ocean near 150 deg W. Marine Chemistry 45:257-266.</t>
  </si>
  <si>
    <t xml:space="preserve">   * On p. 261, the term .098T should be .0098T.</t>
  </si>
  <si>
    <t xml:space="preserve">   * Also, the reference given (UNESCO. 1987. Thermodynamics of the carbon</t>
  </si>
  <si>
    <t xml:space="preserve">     dioxide system in seawater. UNESCO Technical Papers in Marine Science</t>
  </si>
  <si>
    <t xml:space="preserve">     51.) doesn't discuss this equation or the one above it.</t>
  </si>
  <si>
    <t xml:space="preserve">   * In the abstract, tables 4 and 5: T represents both deg C and K.</t>
  </si>
  <si>
    <t xml:space="preserve">   * In table 4, p. 1645, the fits which "allows extrapolation to S = 0"</t>
  </si>
  <si>
    <t xml:space="preserve">     contain a constant term and thus don't match the S = 0 values.</t>
  </si>
  <si>
    <t>boric acid in seawater. Deep-Sea Research 20:461-478.</t>
  </si>
  <si>
    <t xml:space="preserve">   * On p. 467, line 17, "four temperatures" should read "four salinities."</t>
  </si>
  <si>
    <t xml:space="preserve">   * On p. 470 in Table 3, "moles" should be "milli-moles."</t>
  </si>
  <si>
    <t>Lee, K., and F. J. Millero. 1995. Thermodynamic studies of the carbonate</t>
  </si>
  <si>
    <t>system in seawater. Deep-Sea Research 42:2035-2061.</t>
  </si>
  <si>
    <t xml:space="preserve">   * On p. 2037 after eq. 3: the value for the concentrations of SO4 should</t>
  </si>
  <si>
    <t xml:space="preserve">     be proportional to S/35, not 35/S.</t>
  </si>
  <si>
    <t xml:space="preserve">   * On p. 2038 after eq. 5: the concentrations of SO4 and F should be</t>
  </si>
  <si>
    <t xml:space="preserve">     proportional to S/35, not 35/S.</t>
  </si>
  <si>
    <t xml:space="preserve">   * On p. 2056, two lines up: the statement "The calculated values of pK2</t>
  </si>
  <si>
    <t xml:space="preserve">     (S = 35)..." should NOT have the expression "(S = 35)", as the fit has</t>
  </si>
  <si>
    <t xml:space="preserve">     a salinity dependence.</t>
  </si>
  <si>
    <t xml:space="preserve">   * On p. 2058, the actual title for the reference of Clayton and Byrne is:</t>
  </si>
  <si>
    <t xml:space="preserve">     Spectrophotometric seawater pH measurements: total hydrogen ion</t>
  </si>
  <si>
    <t xml:space="preserve">     concentration scale calibration of m-cresol purple and at-sea results."</t>
  </si>
  <si>
    <t xml:space="preserve">   * On p. 2061 in the expression for ln KB: the term log {[H+]SWS/[H+]T}</t>
  </si>
  <si>
    <t>parameters.</t>
  </si>
  <si>
    <t>Choices for Constants in this Program</t>
  </si>
  <si>
    <t>A large number of values are needed in the calculations. These include:</t>
  </si>
  <si>
    <t xml:space="preserve">   * the various dissociation constants:</t>
  </si>
  <si>
    <t xml:space="preserve">        o K1 and K2 for carbonic acid,</t>
  </si>
  <si>
    <t xml:space="preserve">        o KB for boric acid,</t>
  </si>
  <si>
    <t xml:space="preserve">        o KW for water,</t>
  </si>
  <si>
    <t xml:space="preserve">        o KSO4 for the bisulfate ion,</t>
  </si>
  <si>
    <t xml:space="preserve">        o KF for hydrogen fluoride,</t>
  </si>
  <si>
    <t xml:space="preserve">        o KP1, KP2, and KP3 for phosphoric acid, and</t>
  </si>
  <si>
    <t xml:space="preserve">        o KSi for silicic acid;</t>
  </si>
  <si>
    <t xml:space="preserve">   * Ksp(calcite) and Ksp(aragonite), the saturation solubility products for</t>
  </si>
  <si>
    <t xml:space="preserve">     calcite and aragonite;</t>
  </si>
  <si>
    <t xml:space="preserve">   * the pressure dependence of the dissociation constants and the</t>
  </si>
  <si>
    <t xml:space="preserve">     solubility products;</t>
  </si>
  <si>
    <t xml:space="preserve">   * the concentrations of the various species assumed to be proportional to</t>
  </si>
  <si>
    <t xml:space="preserve">     the salinity (the concentrations of phosphate and silicate may vary and</t>
  </si>
  <si>
    <t xml:space="preserve">     are input by the user):</t>
  </si>
  <si>
    <t xml:space="preserve">        o TB for total boron,</t>
  </si>
  <si>
    <t xml:space="preserve">        o TS for total sulfate,</t>
  </si>
  <si>
    <t xml:space="preserve">        o TF for total fluorine, and</t>
  </si>
  <si>
    <t xml:space="preserve">        o TCa for total calcium;</t>
  </si>
  <si>
    <t xml:space="preserve">   * K0, the solubility of CO2 in seawater;</t>
  </si>
  <si>
    <t xml:space="preserve">   * the vapor pressure of water above seawater;</t>
  </si>
  <si>
    <t xml:space="preserve">   * the virial coefficients of CO2 and CO2-air; and</t>
  </si>
  <si>
    <t xml:space="preserve">   * fH, the activity coefficient of the hydrogen ion.</t>
  </si>
  <si>
    <t xml:space="preserve">     can be determined from the reference).</t>
  </si>
  <si>
    <t xml:space="preserve">   * On p. 670, eq. 63: KW is on the seawater pH scale (this wasn't stated</t>
  </si>
  <si>
    <t xml:space="preserve">     but is consistent with programs of Millero).</t>
  </si>
  <si>
    <t xml:space="preserve">   * On p. 670, the given check value after eq. 64 of 1.6 umol/kg should be</t>
  </si>
  <si>
    <t xml:space="preserve">     6.2 umol/kg. There is no easy way to see how 1.6 was obtained.</t>
  </si>
  <si>
    <t xml:space="preserve">   * On p. 670, eqs. 65, 66, and 67: these are on the seawater pH scale</t>
  </si>
  <si>
    <t xml:space="preserve">     (this wasn't stated, but can be determined from the DOE Handbook).</t>
  </si>
  <si>
    <t xml:space="preserve">   * On p. 671, after eq. 71, the check values .792 and .204 should be .852</t>
  </si>
  <si>
    <t xml:space="preserve">     and .140. If pH = 8.2 is used, or if KP3 is increased by a factor of</t>
  </si>
  <si>
    <t xml:space="preserve">     1.55, the given check values are close.</t>
  </si>
  <si>
    <t xml:space="preserve">   * On p. 671, eq. 72: KSi is on the seawater pH scale (this wasn't stated</t>
  </si>
  <si>
    <t xml:space="preserve">     but can be determined from the DOE Handbook).</t>
  </si>
  <si>
    <t xml:space="preserve">   * On p. 671, after eq. 73, at I = .7, t = 25, pKSi is given as 9.47.</t>
  </si>
  <si>
    <t xml:space="preserve">     Plugging in these values gives pKSi = 9.365 (molality) or pKSi = 9.380</t>
  </si>
  <si>
    <t xml:space="preserve">     (mol/kg-soln). Plugging in t = 20 deg C yields the value 9.47. Also, </t>
  </si>
  <si>
    <t xml:space="preserve">     9.38 on the total pH scale = 9.47 on the seawater scale (in the same</t>
  </si>
  <si>
    <t xml:space="preserve">     concentration units). Either of these would explain the given</t>
  </si>
  <si>
    <t xml:space="preserve">     (incorrect) value.</t>
  </si>
  <si>
    <t xml:space="preserve">   * On p. 671, after eq. 73: using the value of pKSi = 9.47 given, along</t>
  </si>
  <si>
    <t xml:space="preserve">     with pH = 7.5 yields .0106 [Si]T, not .0127 [Si]T.</t>
  </si>
  <si>
    <t xml:space="preserve">   * On p. 671, eq. 74: the pH scale on which K1S is given is not stated.</t>
  </si>
  <si>
    <t xml:space="preserve">     From the original reference, it was determined in artificial seawater</t>
  </si>
  <si>
    <t xml:space="preserve">     without F, so it must be on the total pH scale.</t>
  </si>
  <si>
    <t xml:space="preserve">   * On p. 671, after eq. 75: the value of pK1S = 6.98 given at t = 25 and S</t>
  </si>
  <si>
    <t xml:space="preserve">     = 35 is incorrect and should be pK1S = 6.51. The value 6.98 can be</t>
  </si>
  <si>
    <t xml:space="preserve">     obtained by plugging in t = 25 and S = 0.</t>
  </si>
  <si>
    <t xml:space="preserve">   * On p. 671, after eq. 75: the value of .768 is consistent with the value</t>
  </si>
  <si>
    <t xml:space="preserve">     pK1S = 6.98 (which is incorrect). The correct value should be .9071.</t>
  </si>
  <si>
    <t xml:space="preserve">   * On p. 671, eq. 76: the pH scale on which KNH4 is given isn't stated.</t>
  </si>
  <si>
    <t xml:space="preserve">     From the original reference it is on the seawater scale.</t>
  </si>
  <si>
    <t xml:space="preserve">   * On p. 671, after eq. 77: the value of pKNH4 = 9.19 is incorrect and</t>
  </si>
  <si>
    <t xml:space="preserve">     should be pKNH4 = 9.26. It is not clear how the incorrect value was</t>
  </si>
  <si>
    <t xml:space="preserve">     obtained.</t>
  </si>
  <si>
    <t xml:space="preserve">   * On p. 671, after eq. 77: the value .020 is consistent with 9.19 (which</t>
  </si>
  <si>
    <t xml:space="preserve">     is incorrect). It should be .017.</t>
  </si>
  <si>
    <t xml:space="preserve">   * On p. 672, column 2: a parameter is defined as X = TA/TCO2. Note that</t>
  </si>
  <si>
    <t xml:space="preserve">     Goyet et al. (1993) (Goyet, C., F. J. Millero, A. Poisson, and D.</t>
  </si>
  <si>
    <t xml:space="preserve">     Shafer. 1993. Temperature dependence of CO2 fugacity in seawater.</t>
  </si>
  <si>
    <t xml:space="preserve">     Marine Chemistry 44:205-219) in a paper on a similar topic define X =</t>
  </si>
  <si>
    <t xml:space="preserve">     TCO2/TA. This could cause confusion.</t>
  </si>
  <si>
    <t xml:space="preserve">   * On p. 673, eq. 86: if fCO2 at 20 deg C AND X are known, then fCO2 at ANY</t>
  </si>
  <si>
    <t xml:space="preserve">     temp can be calculated exactly! The only way to know X is to know TA</t>
  </si>
  <si>
    <t xml:space="preserve">     AND TCO2, and either one of these and fCO2 at 20 deg C is also sufficient </t>
  </si>
  <si>
    <t xml:space="preserve">     to find fCO2 at any temperature.</t>
  </si>
  <si>
    <t xml:space="preserve">   * On p. 675, after eq. 90: the value and the units for R are incorrect.</t>
  </si>
  <si>
    <t xml:space="preserve">     The true value is R = 83.145 bar-cm3/(mol-K).</t>
  </si>
  <si>
    <t xml:space="preserve">   * On p. 675, column 1: the reference to Millero (1989) should probably be</t>
  </si>
  <si>
    <t xml:space="preserve">     Millero (1983b).</t>
  </si>
  <si>
    <t xml:space="preserve">   * On p. 675, eq. 92: There are no values of b2 in Table 9. Probably they</t>
  </si>
  <si>
    <t xml:space="preserve">     are equal to 0; this would be consistent with previous work.</t>
  </si>
  <si>
    <t xml:space="preserve">   * On p. 675, the left-hand side of equation 92 should be (1000)* deltaK,</t>
  </si>
  <si>
    <t xml:space="preserve">     or the last two columns in Table 9 should be 1000*b1 and 1000*b2 in</t>
  </si>
  <si>
    <t xml:space="preserve">     order to be correct.</t>
  </si>
  <si>
    <t xml:space="preserve">   * On p. 675 in Table 9: the values of a0, a1, and a2 for H2O and H2S are</t>
  </si>
  <si>
    <t xml:space="preserve">     the FRESHWATER values given in Millero (1983)</t>
  </si>
  <si>
    <t xml:space="preserve">   * On p. 675 in Table 9: there are no a and b values for Si(OH)3. Before</t>
  </si>
  <si>
    <t xml:space="preserve">     the heading "Conclusions" on the same page it is stated that they are</t>
  </si>
  <si>
    <t xml:space="preserve">     "estimated" from those of boric acid. Does this mean they are assumed</t>
  </si>
  <si>
    <t xml:space="preserve">     equal to those of boric acid?</t>
  </si>
  <si>
    <t xml:space="preserve">   * On p. 675 in Table 9: the value of a1 for B(OH)3 should be +.1622 to</t>
  </si>
  <si>
    <t xml:space="preserve">     agree with Millero (1979).</t>
  </si>
  <si>
    <t xml:space="preserve">   * On p. 675 in Table 9: the values of a1 for calcite and aragonite should</t>
  </si>
  <si>
    <t xml:space="preserve">     be +.5304 to agree with Millero (1979).</t>
  </si>
  <si>
    <t xml:space="preserve">   * On p. 675 in Table 9: the value of -a0 for aragonite should be -46.0</t>
  </si>
  <si>
    <t xml:space="preserve">     (or -45.96) to agree with Millero (1979).</t>
  </si>
  <si>
    <t xml:space="preserve">   * On p. 675 in Table 9: the value of b1 for calcite should be +.3692 to</t>
  </si>
  <si>
    <t xml:space="preserve">   * On p. 677, in column 2 there is a problem with the reference Millero,</t>
  </si>
  <si>
    <t xml:space="preserve">     F. J. (1982) The thermodynamics of seawater at one atmosphere. Ocean</t>
  </si>
  <si>
    <t xml:space="preserve">     Sci. Eng. 7: 403-460.</t>
  </si>
  <si>
    <t xml:space="preserve">     It should probably read:</t>
  </si>
  <si>
    <t xml:space="preserve">        o Millero, F. J. (1976) The thermodynamics of seawater at one</t>
  </si>
  <si>
    <t xml:space="preserve">          atmosphere. American Journal of Science 276:1035-1077.</t>
  </si>
  <si>
    <t xml:space="preserve">        o Millero, F. J. (1982) Thermodynamics of seawater: the PVT</t>
  </si>
  <si>
    <t xml:space="preserve">          properties. Ocean Sci. Eng. 7: 403-460.</t>
  </si>
  <si>
    <t>Millero, F. J., T. Plese, and M. Fernandez. 1988. The dissociation of</t>
  </si>
  <si>
    <t>hydrogen sulfide in seawater. Limnology and Oceanography 33:269-274.</t>
  </si>
  <si>
    <t xml:space="preserve">   * On p. 271 just before eq. 7: it is stated that the NBS and the total pH</t>
  </si>
  <si>
    <t xml:space="preserve">     scales are related by aH' = fH * [H+]T, but this does not include</t>
  </si>
  <si>
    <t xml:space="preserve">     fluorine. The relation usually used is aH' = fH * [H+]SWS, which does</t>
  </si>
  <si>
    <t xml:space="preserve">     include F. This means that the fH used in this equation is the activity</t>
  </si>
  <si>
    <t xml:space="preserve">     coefficient for seawater containing no F.</t>
  </si>
  <si>
    <t xml:space="preserve">   * On p. 273 the fit for fH combines data which were done in seawater</t>
  </si>
  <si>
    <t xml:space="preserve">     (artificial and actual) containing F with values which were done in</t>
  </si>
  <si>
    <t xml:space="preserve">     artificial seawater without F.</t>
  </si>
  <si>
    <t>DISCLAIMER. The co2sys.xls program was developed and is maintained by the</t>
  </si>
  <si>
    <t>Washington state Department of Ecology. The co2sys.xls developers and the</t>
  </si>
  <si>
    <t>Department of Ecology are not responsible for any damages, including</t>
  </si>
  <si>
    <t>incidental or consequential damages, arising from use or misuse of co2sys.xls,</t>
  </si>
  <si>
    <t>or from results achieved or conclusions drawn by others.</t>
  </si>
  <si>
    <t>NO WARRANTIES. The Department of Ecology and the developers of co2sys.xls</t>
  </si>
  <si>
    <t>expressly disclaim any warranty for co2sys.xls. co2sys.xls and any related</t>
  </si>
  <si>
    <t>documentation is provided "as is" without warranty of any kind, either</t>
  </si>
  <si>
    <t>express or implied, including, without limitation, the implied warranties</t>
  </si>
  <si>
    <t>or merchantability, fitness for a particular purpose, or noninfringement.</t>
  </si>
  <si>
    <t>The entire risk arising out of use or performance of co2sys.xls remains with the user.</t>
  </si>
  <si>
    <t>NO LIABILITY FOR DAMAGES. In no event shall the Department of Ecology,</t>
  </si>
  <si>
    <t>the developers of co2sys.xls, or their suppliers be liable for any damages</t>
  </si>
  <si>
    <t>whatsoever (including, without limitation, damages for loss of business profits,</t>
  </si>
  <si>
    <t>business interruption, loss of business information, or any other pecuniary loss)</t>
  </si>
  <si>
    <t>arising out of the use of or inability to use this product, even if the</t>
  </si>
  <si>
    <t>Department of Ecology, the developers of co2sys.xls, or their suppliers</t>
  </si>
  <si>
    <t>have been advised of the possibility of such damages.</t>
  </si>
  <si>
    <t>Preface</t>
  </si>
  <si>
    <t>Investigators interested in studying the ocean carbonate system are not in</t>
  </si>
  <si>
    <t xml:space="preserve">complete agreement on how to calculate inorganic carbon speciation in </t>
  </si>
  <si>
    <t>seawater. Over the years there have been many determinations and reviews of</t>
  </si>
  <si>
    <t xml:space="preserve">the constants used to describe the dissociation of carbon dioxide (CO2) in </t>
  </si>
  <si>
    <t xml:space="preserve">the ocean, but no universally accepted set of constants exists. Several </t>
  </si>
  <si>
    <t xml:space="preserve">subtly different pH scales remain in common use, as do variations in the </t>
  </si>
  <si>
    <t xml:space="preserve">definition of total alkalinity and arguments over the relative merits of </t>
  </si>
  <si>
    <t xml:space="preserve">reporting the partial pressure versus the fugacity of CO2. As ocean CO2 </t>
  </si>
  <si>
    <t>Salinity</t>
  </si>
  <si>
    <t xml:space="preserve">     34:1733-1743; see also 1989. Deep-Sea Research 36:983.</t>
  </si>
  <si>
    <t xml:space="preserve">   * Millero, F. J. 1983. Influence of pressure on chemical processes in </t>
  </si>
  <si>
    <t xml:space="preserve">     the sea. Chapter 43. In J. P. Riley and R. Chester (eds.), Chemical</t>
  </si>
  <si>
    <t xml:space="preserve">     Oceanography. Academic Press, New York.</t>
  </si>
  <si>
    <t xml:space="preserve">   * Millero, F. J. 1986. Limnology and Oceanography 31:839-847.</t>
  </si>
  <si>
    <t xml:space="preserve">   * Ingle, S. E. 1975. Marine Chemistry 3:301-319.</t>
  </si>
  <si>
    <t xml:space="preserve">   * On p. 149, eq. 23, and on p. 150, eqs. 25 and 27: x should be / (the</t>
  </si>
  <si>
    <t xml:space="preserve">     multiplication sign should be a division sign).</t>
  </si>
  <si>
    <t>Millero, F. J., J. Z. Zhang, K. Lee, and D. M. Campbell. 1993. Titration</t>
  </si>
  <si>
    <t>alkalinity of seawater. Marine Chemistry 44:153-166.</t>
  </si>
  <si>
    <t xml:space="preserve">   * On p. 156, column 2, about 10 lines down: 14+/-1 mM should be 14+/-1 uM.</t>
  </si>
  <si>
    <t>variability of carbon dioxide, nutrients and oxygen in the North Atlantic</t>
  </si>
  <si>
    <t>surface water: observations and a model. Tellus 39B:439-458</t>
  </si>
  <si>
    <t xml:space="preserve">   * On p. 455 the fit of fH is NOT the same as the one in GEOSECS, as</t>
  </si>
  <si>
    <t xml:space="preserve">     claimed, but rather is rounded off. It is about 1% higher (this results</t>
  </si>
  <si>
    <t xml:space="preserve">     in a change of .003 in pH).</t>
  </si>
  <si>
    <t xml:space="preserve">   * On p. 456, the given check value for fH doesn't match the fit given in</t>
  </si>
  <si>
    <t xml:space="preserve">     that paper or the GEOSECS fit.</t>
  </si>
  <si>
    <t xml:space="preserve">   * NOTE: On p. 455, eq. A3, this definition of TA is different from that</t>
  </si>
  <si>
    <t xml:space="preserve">     of Dickson; it is higher by an amount equal to the total phosphate.</t>
  </si>
  <si>
    <t xml:space="preserve">   * On p. 254 in the label for Figure 2: 3m(CO3--) should be 2m(CO3--).</t>
  </si>
  <si>
    <t xml:space="preserve">   * On pp. 254 and 258 they claim 2s precisions of .004 in pK1 and .006 in</t>
  </si>
  <si>
    <t xml:space="preserve">     pK2. From Andrew Dickson (personal communication, 1997) these should be</t>
  </si>
  <si>
    <t xml:space="preserve">     .008 in pK1 and .006 in pK2.</t>
  </si>
  <si>
    <t xml:space="preserve">   * On p. 257, they use Khoo's value for KSO4, not Dickson's, but reference</t>
  </si>
  <si>
    <t xml:space="preserve">     Dickson earlier (p. 252)</t>
  </si>
  <si>
    <t xml:space="preserve">   * Erratum. 1994. Marine Chemistry 45:337. This replaces tables 3 and 4.</t>
  </si>
  <si>
    <t xml:space="preserve">   * Erratum. 1996. Marine Chemistry 52:183. This fixes a typo in the</t>
  </si>
  <si>
    <t xml:space="preserve">     abstract on p. 249: in the eq. for lnK1* the last term should have S</t>
  </si>
  <si>
    <t xml:space="preserve">     raised to the power 1.5 It fixes a typo in eq. 34 on p. 256: 310.48919</t>
  </si>
  <si>
    <t xml:space="preserve">     should be 2310.48919.</t>
  </si>
  <si>
    <t xml:space="preserve">   * On p. 79 (no. 5 in list) in the equation for K2'(P), 26.4 should be 16.4 </t>
  </si>
  <si>
    <t xml:space="preserve">   * On p. 79, the reference in 6. should actually be Ingle, S. E. 1975.</t>
  </si>
  <si>
    <t xml:space="preserve">     Marine Chemistry 3:301-319. Reference [21] is not correct.</t>
  </si>
  <si>
    <t xml:space="preserve">   * On p. 79 in the equation for Ksp'(aragonite), the 1.45 should be a 1.48</t>
  </si>
  <si>
    <t xml:space="preserve">     (this is what Berner uses on p. 722 of Berner).</t>
  </si>
  <si>
    <t xml:space="preserve">   * On p. 79, after 8.: the reference to Culberson [20] isn't the correct</t>
  </si>
  <si>
    <t xml:space="preserve">     one; that reference is not on that topic.</t>
  </si>
  <si>
    <t xml:space="preserve">   * On p. 79 in the equation for Ksp'(calcite,P) the + should be an =.</t>
  </si>
  <si>
    <t xml:space="preserve">   * On p. 80 in the equation for lnKW': C/lnT should be C*lnT.</t>
  </si>
  <si>
    <t xml:space="preserve">   * On p. 81 in Table 1: the 17.8 for Pacific Surface Water should be 7.8.</t>
  </si>
  <si>
    <t>UNESCO. 1987. UNESCO Technical papers in marine science 51: Thermodynamics</t>
  </si>
  <si>
    <t>of the carbon dioxide system in seawater.</t>
  </si>
  <si>
    <t xml:space="preserve">   * On p. 50, the term .00116 in the equation for pK2* should be .000132.</t>
  </si>
  <si>
    <t>--.Errata. 1980. Marine Chemistry 9:221.</t>
  </si>
  <si>
    <t xml:space="preserve">   * On p. 355, Table III, row 5, column 2: 4.245 should be 5.245</t>
  </si>
  <si>
    <t xml:space="preserve">   * On p. 355, line 3 below Table III should read: "... 1.1% and 1.5%</t>
  </si>
  <si>
    <t xml:space="preserve">     respectively, below our results."</t>
  </si>
  <si>
    <r>
      <t>co2sys.xls -</t>
    </r>
    <r>
      <rPr>
        <sz val="10"/>
        <rFont val="Arial"/>
        <family val="2"/>
      </rPr>
      <t xml:space="preserve"> This program takes two parameters of the CO2 system in seawater (TA, TC, pH, fCO2 or pCO2), and calculates the other two parameters for given input and output conditions of temperature and pressure.</t>
    </r>
  </si>
  <si>
    <t>Constants:</t>
  </si>
  <si>
    <t xml:space="preserve">fCO2 or pCO2: </t>
  </si>
  <si>
    <t xml:space="preserve">Input parameter case: </t>
  </si>
  <si>
    <t>GIVEN TA TC</t>
  </si>
  <si>
    <t>KSO4:</t>
  </si>
  <si>
    <t>Dickson</t>
  </si>
  <si>
    <t xml:space="preserve">pH scale: </t>
  </si>
  <si>
    <r>
      <t xml:space="preserve">Inputs </t>
    </r>
    <r>
      <rPr>
        <b/>
        <sz val="10"/>
        <rFont val="Arial Narrow"/>
        <family val="2"/>
      </rPr>
      <t>(Note: for missing data enter the numeric code specified in cell B6 of the 'defaults' sheet. Blank cells or negative values, except for temperature, will also be treated as missing data.)</t>
    </r>
  </si>
  <si>
    <t>Calculations at input conditions of temperature (Tinp) and pressure (Pinp)</t>
  </si>
  <si>
    <t>Calculations at output conditions of temperature (Tout) and pressure (Pout)</t>
  </si>
  <si>
    <t>Number of</t>
  </si>
  <si>
    <t>ID</t>
  </si>
  <si>
    <t>date+time</t>
  </si>
  <si>
    <t>TP</t>
  </si>
  <si>
    <t>TSi</t>
  </si>
  <si>
    <t>Tinp</t>
  </si>
  <si>
    <t>Pinp</t>
  </si>
  <si>
    <t>Tout</t>
  </si>
  <si>
    <t>Pout</t>
  </si>
  <si>
    <t>TA, TC or pH?:</t>
  </si>
  <si>
    <t>TC, pH, or fCO2/pCO2?:</t>
  </si>
  <si>
    <t>pH, TC, or TA?:</t>
  </si>
  <si>
    <t>fCO2/pCO2, pH, or TC?:</t>
  </si>
  <si>
    <t>forms of inorganic carbon</t>
  </si>
  <si>
    <t>Revelle</t>
  </si>
  <si>
    <t>in-situ density</t>
  </si>
  <si>
    <t>fCO2 or pCO2?:</t>
  </si>
  <si>
    <t>missing inputs</t>
  </si>
  <si>
    <t>pH</t>
  </si>
  <si>
    <t>CO2</t>
  </si>
  <si>
    <t>HCO3-</t>
  </si>
  <si>
    <t>CO3--</t>
  </si>
  <si>
    <t>Omega Ca</t>
  </si>
  <si>
    <t>Omega Ar</t>
  </si>
  <si>
    <t>factor</t>
  </si>
  <si>
    <t>of seawater</t>
  </si>
  <si>
    <t>replaced with</t>
  </si>
  <si>
    <t>(optional)</t>
  </si>
  <si>
    <t>(umol/kg-SW)</t>
  </si>
  <si>
    <t>(deg C)</t>
  </si>
  <si>
    <t>(dbar or m)</t>
  </si>
  <si>
    <t>(kg/m^3)</t>
  </si>
  <si>
    <t>default values</t>
  </si>
  <si>
    <t>Optional default values to replace missing input data on the 'co2sys' worksheet</t>
  </si>
  <si>
    <t>Parameter</t>
  </si>
  <si>
    <t>Value</t>
  </si>
  <si>
    <t>Units</t>
  </si>
  <si>
    <t>Replace missing input data with default values?</t>
  </si>
  <si>
    <t>Default values to use for missing input data:</t>
  </si>
  <si>
    <t>numeric value to use as missing input data code</t>
  </si>
  <si>
    <t>TA = total alkalinity</t>
  </si>
  <si>
    <t>umol/kg-SW</t>
  </si>
  <si>
    <t>TC = total inorganic carbon</t>
  </si>
  <si>
    <t>pH of input condition</t>
  </si>
  <si>
    <t>fCO2 of input condition</t>
  </si>
  <si>
    <t>uatm</t>
  </si>
  <si>
    <t>pCO2 of input condition</t>
  </si>
  <si>
    <t>Salinity of input condition</t>
  </si>
  <si>
    <t>psu</t>
  </si>
  <si>
    <t>TP = total phosphate</t>
  </si>
  <si>
    <t>TSi = total silicate</t>
  </si>
  <si>
    <t>Temperature of input condition</t>
  </si>
  <si>
    <t>deg C</t>
  </si>
  <si>
    <t>Pressure or depth of input condition</t>
  </si>
  <si>
    <t>dbar or m</t>
  </si>
  <si>
    <t>Temperature of output condition</t>
  </si>
  <si>
    <t>Pressure or depth of output condition</t>
  </si>
  <si>
    <t>pCO2 due to the non-ideality of CO2 (see Weiss 1974). This program assumes a</t>
  </si>
  <si>
    <t>pressure near 1 atm (where most equilibrators function) for the conversion</t>
  </si>
  <si>
    <t>between partial pressure and fugacity.</t>
  </si>
  <si>
    <t>fCO2 is related to TCO2 and pH by the following equation:</t>
  </si>
  <si>
    <t xml:space="preserve">             [CO2*]     TCO2            H*H</t>
  </si>
  <si>
    <t xml:space="preserve">     fCO2 =  ------  =  ----   *  ------------------</t>
  </si>
  <si>
    <t xml:space="preserve">               K0        K0       H*H + K1*H + K1*K2</t>
  </si>
  <si>
    <t>where [CO2*] is the concentration of dissolved CO2, K0 is the solubility</t>
  </si>
  <si>
    <t>coefficient of CO2 in seawater, and K1 and K2 are the first and second</t>
  </si>
  <si>
    <t>dissociation constants for carbonic acid in seawater.</t>
  </si>
  <si>
    <t>Units for fCO2 and pCO2 in this program are micro-atmospheres (uatm). The</t>
  </si>
  <si>
    <t>value of xCO2(dry) given in this program assumes ptot = 1 atm. GEOSECS</t>
  </si>
  <si>
    <t>(Takahashi et al. 1982) and Peng et al. (1987) did not distinguish</t>
  </si>
  <si>
    <t>between fCO2 and pCO2 nor did some other programs that we have evaluated.</t>
  </si>
  <si>
    <t>Calcium Solubility</t>
  </si>
  <si>
    <t>The solubility product (Ksp) is calculated for both calcite and aragonite,</t>
  </si>
  <si>
    <t>and the saturation states are given in terms of the solubility ratio, Omega,</t>
  </si>
  <si>
    <t>which is defined as</t>
  </si>
  <si>
    <t>Omega = [CO3--]*[Ca++] / Ksp.</t>
  </si>
  <si>
    <t>Thus, values of Omega &lt; 1 represent conditions of undersaturation, and</t>
  </si>
  <si>
    <t>values of Omega &gt; 1 represent conditions of oversaturation.</t>
  </si>
  <si>
    <t>The concentration of calcium, [Ca++] , is assumed to be proportional to the</t>
  </si>
  <si>
    <t>salinity, and the carbonate concentration, [CO3--], is calculated from TCO2,</t>
  </si>
  <si>
    <t>pH, and the values of K1 and K2 for carbonic acid. For Constant Choices 1 to</t>
  </si>
  <si>
    <t>5, the calcium concentration used is from Riley and Tongudai (1967). The</t>
  </si>
  <si>
    <t>values of Ksp for calcite and aragonite are from Mucci (1983). The pressure</t>
  </si>
  <si>
    <t>is from Millero (1979).</t>
  </si>
  <si>
    <t>For the GEOSECS Choice and the Peng Choice, the concentration of calcium is</t>
  </si>
  <si>
    <t>from Culkin (1965). The value of Ksp for calcite is from Ingle (1975)</t>
  </si>
  <si>
    <t>[GEOSECS had referenced Ingle et al. (1973), but this is incorrect.] and Ksp</t>
  </si>
  <si>
    <t>for aragonite is from Berner (1976) (Berner stated that Ksp for aragonite is</t>
  </si>
  <si>
    <t>1.48 times Ksp for calcite; GEOSECS gave and used the value 1.45 instead of</t>
  </si>
  <si>
    <t>1.48. The program CO2SYS also uses 1.45). The pressure corrections to these</t>
  </si>
  <si>
    <t>constants are from Takahashi et al. (1982) (the original reference given for</t>
  </si>
  <si>
    <t>the pressure corrections is not valid and the fit used appears to be new to</t>
  </si>
  <si>
    <t>regardless of pH scale, as should the values for the concentrations of HCO3-</t>
  </si>
  <si>
    <t>and CO3--.</t>
  </si>
  <si>
    <t>Closer inspection (this means looking at the code) reveals some of the</t>
  </si>
  <si>
    <t>reasons for the differences. Program 1 did not include the contribution of</t>
  </si>
  <si>
    <t>OH to the alkalinity (which would be about 5 umol/kg-SW), nor did it</t>
  </si>
  <si>
    <t>include the contributions of phosphate and silicate. It used the K1 and K2</t>
  </si>
  <si>
    <t>values from Goyet and Poisson (1989) and the value of KSO4 from data of Khoo</t>
  </si>
  <si>
    <t>et al. (1977) but refit by other investigators. It didn't include a</t>
  </si>
  <si>
    <t>correction for the non-ideality of CO2, but did include pressure</t>
  </si>
  <si>
    <t>corrections. Program 2 did not include the contributions of phosphate and</t>
  </si>
  <si>
    <t>silicate, but did include pressure corrections and a correction for the</t>
  </si>
  <si>
    <t>non-ideality of CO2. The values of K1 and K2 were those of Roy et al.</t>
  </si>
  <si>
    <t>(http://www.bioacid.de/upload/bellerby_co2sys_oa_workshop.pdf).</t>
  </si>
  <si>
    <t xml:space="preserve">  11. Lueker et al (2000)</t>
  </si>
  <si>
    <t>where salinity is between 0-40 psu and temperature is between 0.2-35 deg C.</t>
  </si>
  <si>
    <t xml:space="preserve">  13. Millerro et al (2002)</t>
  </si>
  <si>
    <t>Cai and Wang (1998) is applicable for estuarine waters</t>
  </si>
  <si>
    <t xml:space="preserve">Mojica Prieto and Millero (2002), Millero (2002), and Millero (2010) are </t>
  </si>
  <si>
    <t>(http://cdiac.ornl.gov/ftp/co2sys/CO2SYS_calc_MATLAB/).</t>
  </si>
  <si>
    <t>included for compatibility with all of the options in the Matlab verison of CO2SYS</t>
  </si>
  <si>
    <r>
      <t>More choices for K1 and K2 were added to this Excel version (</t>
    </r>
    <r>
      <rPr>
        <b/>
        <sz val="10"/>
        <rFont val="Arial"/>
        <family val="2"/>
      </rPr>
      <t>co2sys.xls</t>
    </r>
    <r>
      <rPr>
        <sz val="10"/>
        <rFont val="Arial"/>
        <family val="2"/>
      </rPr>
      <t>):</t>
    </r>
  </si>
  <si>
    <r>
      <rPr>
        <b/>
        <sz val="10"/>
        <rFont val="Arial"/>
        <family val="2"/>
      </rPr>
      <t>Lueker et al (2000)</t>
    </r>
    <r>
      <rPr>
        <sz val="10"/>
        <rFont val="Arial"/>
        <family val="2"/>
      </rPr>
      <t xml:space="preserve"> is a refit of Mehrbach et al (1973)</t>
    </r>
  </si>
  <si>
    <r>
      <t xml:space="preserve">and </t>
    </r>
    <r>
      <rPr>
        <b/>
        <sz val="10"/>
        <rFont val="Arial"/>
        <family val="2"/>
      </rPr>
      <t>is recommended by the European Project on Ocean Acidificaiton (EPOCA)</t>
    </r>
  </si>
  <si>
    <t>Millero 2010 is applicable for estuarine waters.</t>
  </si>
  <si>
    <t>of carbon dioxide in the estuarine waters of the Satilla and Altamaha</t>
  </si>
  <si>
    <t>Rivers, Georgia. Limn.Oceanogr. 43(4), 1998, 657-668</t>
  </si>
  <si>
    <t>[NOTE: there is a typo on page 661 of Cai and Wang in the equation for pK1:</t>
  </si>
  <si>
    <t>F1(T) is not part of the last term for pK1]</t>
  </si>
  <si>
    <t>Cai, W.-J. and Y. Wang. 1998. The chemistry, fluxes, and sources</t>
  </si>
  <si>
    <t>and temperature. Marine Chemistry 100(2006)80-94.</t>
  </si>
  <si>
    <t>Millero, F.J, T.B Graham, F. Huang, H. Bustos-Serrano, and D. Pierrot. 2006.</t>
  </si>
  <si>
    <t>Millero et al (2006) is valid for S=0-50 psu and t=0-50 deg C.</t>
  </si>
  <si>
    <t>Lueker, T.J., A.G. Dickson, and C.D. Keeling. 2000. Marine Chemistry, 70(2000):105-119.</t>
  </si>
  <si>
    <t>Millero et al., 2002. Deep-Sea Res. I (49) 1705-1723.</t>
  </si>
  <si>
    <t>Mojica Prieto and Millero. 2002. Geochim. et Cosmochim. Acta. 66(14) 2529-2540.</t>
  </si>
  <si>
    <t xml:space="preserve">Millero F. J. 2010. Carbonate constant for estuarine waters. Marine and Freshwater Research 61: 139-142. </t>
  </si>
  <si>
    <t xml:space="preserve">  14. Millero (2010)</t>
  </si>
  <si>
    <t xml:space="preserve">  12. Mojica Prieto and Millero (2002)</t>
  </si>
  <si>
    <t>pK1</t>
  </si>
  <si>
    <t>pK2</t>
  </si>
  <si>
    <t>Constants at input conditions Tinp and Pinp</t>
  </si>
  <si>
    <t>Constants at output conditions Tout and Pout</t>
  </si>
  <si>
    <t>Total boron:</t>
  </si>
  <si>
    <t>Lueker et al 2000</t>
  </si>
  <si>
    <t>Total Boron</t>
  </si>
  <si>
    <t xml:space="preserve">to estimate total boron. </t>
  </si>
  <si>
    <t>the present version of CO2SYS. The results of Lee et al. (2010) are about 4% higher</t>
  </si>
  <si>
    <t>than Uppstrom (1974) for borate alkalinity. Orr et al (2014) recommend using Lee et al. (2010)</t>
  </si>
  <si>
    <t>The original version of CO2SYS used the equation of Uppstrom (1974) to estimate total boron</t>
  </si>
  <si>
    <t>Lee, K., Kim, T.-W., Byrne, R. H., Millero, F. J., Feely, R. A., and Liu, Y.-M.: The universal ratio</t>
  </si>
  <si>
    <t>of boron to chlorinity for the North Pacific and North Atlantic oceans, Geochim. Cosmochim.</t>
  </si>
  <si>
    <t>Ac., 74, 1801–1811, doi:10.1016/j.gca.2009.12.027, 2010. 5337, 5345, 5361, 5390</t>
  </si>
  <si>
    <t xml:space="preserve">Orr, J.C., J.-M. Epitalon, and J.-P. Gattuso. 2014. Comparison of seven packages </t>
  </si>
  <si>
    <t>that compute ocean carbonate chemistry. Biogeosciences Discuss., 11, 5327-5397.</t>
  </si>
  <si>
    <t>www.biogeosciences-discuss.net/11/5327/2014/</t>
  </si>
  <si>
    <t>doi:10.5194/bgd-11-5327-2014</t>
  </si>
  <si>
    <t>from salinity. A new formulation was publised by Lee et al. (2010) and has been incorporated into</t>
  </si>
  <si>
    <t>- Millero 2010a uses the original values published in Millero 2010 for all coefficients</t>
  </si>
  <si>
    <t xml:space="preserve">Two options (a and b) are available for implementation of Millero 2010: </t>
  </si>
  <si>
    <r>
      <t xml:space="preserve">- Millero 2010b uses an additional significant figure for the </t>
    </r>
    <r>
      <rPr>
        <sz val="10"/>
        <rFont val="Calibri"/>
        <family val="2"/>
      </rPr>
      <t>α</t>
    </r>
    <r>
      <rPr>
        <sz val="10"/>
        <rFont val="Arial"/>
        <family val="2"/>
      </rPr>
      <t>5 coefficient for K2</t>
    </r>
  </si>
  <si>
    <r>
      <t xml:space="preserve">   (</t>
    </r>
    <r>
      <rPr>
        <sz val="10"/>
        <rFont val="Calibri"/>
        <family val="2"/>
      </rPr>
      <t>α</t>
    </r>
    <r>
      <rPr>
        <sz val="10"/>
        <rFont val="Arial"/>
        <family val="2"/>
      </rPr>
      <t xml:space="preserve">5 = -3.3738) reported by Orr et al (2014) as originating from Millero's unpublished spreadsheet </t>
    </r>
  </si>
  <si>
    <t>KF:</t>
  </si>
  <si>
    <t>Dickson &amp; Riley 1979</t>
  </si>
  <si>
    <t>KF Choices</t>
  </si>
  <si>
    <t>Three choices are available for calculation of KF :</t>
  </si>
  <si>
    <t xml:space="preserve">The estimation of acid dissociation constants in seawater media </t>
  </si>
  <si>
    <t xml:space="preserve">from potentiometric titrations with strong base, </t>
  </si>
  <si>
    <t xml:space="preserve">I. The ionic product of water – KW, </t>
  </si>
  <si>
    <t xml:space="preserve">Mar.Chem., 7, 89-99, 1979. 5336, 5352, 5355, 5356, 5373, 5396 </t>
  </si>
  <si>
    <t xml:space="preserve">Association constant of fluoride and hydrogen ions in seawater, </t>
  </si>
  <si>
    <t>Mar.Chem., 21, 161–168, 1987. 5336, 5352, 5355, 5373, 5394</t>
  </si>
  <si>
    <t xml:space="preserve">and salinity is between 10-40 psu, otherwise use Dickson and Riley 1979 </t>
  </si>
  <si>
    <t xml:space="preserve">Perez and Fraga 1987 is recommended by Dickson et al (2007) </t>
  </si>
  <si>
    <t xml:space="preserve">and Orr et al (2014) if temperature is between 10-33 degC </t>
  </si>
  <si>
    <t xml:space="preserve">and salinity is between 10-40 psu, otherwise Dickson and Riley 1979 </t>
  </si>
  <si>
    <t xml:space="preserve">is recommended. The seacarb option uses Perez and Fraga 1987 by default </t>
  </si>
  <si>
    <t xml:space="preserve">unless the temperature and salinity are outside of the range of data </t>
  </si>
  <si>
    <t>in which case Dickson and Riley is used for the seacarb option.</t>
  </si>
  <si>
    <t xml:space="preserve">2) Perez &amp; Fraga 1987: Perez, F. F. and Fraga, F.: </t>
  </si>
  <si>
    <t xml:space="preserve">3) seacarb: Use Perez &amp; Fraga 1987 if temperature is between 10-33 degC </t>
  </si>
  <si>
    <t xml:space="preserve">1) Dickson &amp; Riley 1979: Dickson, A. G. 5 and Riley, J. P.: </t>
  </si>
  <si>
    <t>pK0</t>
  </si>
  <si>
    <t>pKW</t>
  </si>
  <si>
    <t>pKB</t>
  </si>
  <si>
    <t>pKF</t>
  </si>
  <si>
    <t>pKS</t>
  </si>
  <si>
    <t>pKP1</t>
  </si>
  <si>
    <t>pKP2</t>
  </si>
  <si>
    <t>pKP3</t>
  </si>
  <si>
    <t>pKSi</t>
  </si>
  <si>
    <t>Uppstrom 1974</t>
  </si>
  <si>
    <t>CaCO3 saturation states</t>
  </si>
  <si>
    <t>pKspCalcite</t>
  </si>
  <si>
    <t>pKspAragonite</t>
  </si>
  <si>
    <t xml:space="preserve">Scalar offset: </t>
  </si>
  <si>
    <t xml:space="preserve">Scalar multiplier: </t>
  </si>
  <si>
    <t>Roy et al</t>
  </si>
  <si>
    <t>Goyet and Poisson</t>
  </si>
  <si>
    <t>Hansson</t>
  </si>
  <si>
    <t>Mehrbach et al</t>
  </si>
  <si>
    <t>Dickson and Millero</t>
  </si>
  <si>
    <t>GEOSECS</t>
  </si>
  <si>
    <t>Peng et al</t>
  </si>
  <si>
    <t>freshwater</t>
  </si>
  <si>
    <t>Cai and Wang 1998</t>
  </si>
  <si>
    <t>Millero et al 2006</t>
  </si>
  <si>
    <t>Mojica-Prieto and Millero 2002</t>
  </si>
  <si>
    <t>Millero et al 2002</t>
  </si>
  <si>
    <t>Millero 2010a</t>
  </si>
  <si>
    <t>Millero 2010b</t>
  </si>
  <si>
    <t>Waters et al 2014</t>
  </si>
  <si>
    <t xml:space="preserve">Orr et al (2015) suggests not using Millero (2010) due to inconsistencies. If Millero (2010) is used, </t>
  </si>
  <si>
    <t>then using the option with the unpublished additional significant figure (Millero 2010b)</t>
  </si>
  <si>
    <t>may improved accuracy.</t>
  </si>
  <si>
    <t>Waters et al 2014 is applicable to estuarine waters.</t>
  </si>
  <si>
    <t xml:space="preserve">Waters et al (2014) Seawater pH scale coefficients for K1 and K2 </t>
  </si>
  <si>
    <t xml:space="preserve">J. Waters, F.J. Millero, and R.J. Woosley. 2014. </t>
  </si>
  <si>
    <t>Corrigendum to "The free proton concentration scale for seawater pH"</t>
  </si>
  <si>
    <t>[MARCHE: 149 (2013) 8-22]</t>
  </si>
  <si>
    <t>Marine Chemistry 165 (2014) 66-67.</t>
  </si>
  <si>
    <t xml:space="preserve">Correction and additional significant digits for the same data set compiled by Millero (2010). </t>
  </si>
  <si>
    <t xml:space="preserve">Dr. James Orr (pers. comm 3/23/2015) suggests that although Waters et al (2014) was intended </t>
  </si>
  <si>
    <t xml:space="preserve">to address inconstencies in Millero (2010), some inconsistencies still exist comparing results </t>
  </si>
  <si>
    <t xml:space="preserve">of coefficients for K1 and K2 for different scales. In theory the coefficients for different scales </t>
  </si>
  <si>
    <t xml:space="preserve">should all give the same result when converted back to a common scale, but there are differences </t>
  </si>
  <si>
    <t xml:space="preserve">of up to about 0.015 which can lead to substantial differences in computed values. </t>
  </si>
  <si>
    <t>If Waters et al (2014) is used, Orr suggests using the seawater scale coefficients because</t>
  </si>
  <si>
    <t xml:space="preserve">the measurments by Waters et al (Millero) were on the seawater scale and it least prone </t>
  </si>
  <si>
    <t>to error from data transformations. CO2SYS converts all results to the chosen pH scale,</t>
  </si>
  <si>
    <t>therefore Waters et al (2015) seawater scale coefficients may be used with any chosen pH scale.</t>
  </si>
  <si>
    <t xml:space="preserve">Orr, J.C., J.-M. Epitalon, and J.-P. Gattuso. 2015. Comparison of ten packages </t>
  </si>
  <si>
    <t>that compute ocean carbonate chemistry. Biogeosciences, 12, 1483-1510, 2015.</t>
  </si>
  <si>
    <t>www.biogeosciences.net/12/1483/2015/</t>
  </si>
  <si>
    <t>doi:10.5194/bg-12-1483-2015</t>
  </si>
  <si>
    <t>Yes</t>
  </si>
  <si>
    <t>TA</t>
    <phoneticPr fontId="18" type="noConversion"/>
  </si>
  <si>
    <t>(umol/kg-SW)</t>
    <phoneticPr fontId="18" type="noConversion"/>
  </si>
  <si>
    <t>TC</t>
    <phoneticPr fontId="18" type="noConversion"/>
  </si>
  <si>
    <t>pH</t>
    <phoneticPr fontId="18" type="noConversion"/>
  </si>
  <si>
    <t>(uatm)</t>
    <phoneticPr fontId="18" type="noConversion"/>
  </si>
  <si>
    <t>fCO2</t>
  </si>
  <si>
    <t>fCO2</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</si>
</sst>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409]m/d/yy\ h:mm\ AM/PM;@"/>
    <numFmt numFmtId="177" formatCode="0.0"/>
    <numFmt numFmtId="178" formatCode="[$-409]h:mm\ AM/PM;@"/>
    <numFmt numFmtId="179" formatCode="0.000"/>
  </numFmts>
  <fonts count="29" x14ac:knownFonts="1">
    <font>
      <sz val="10"/>
      <name val="Arial"/>
    </font>
    <font>
      <sz val="10"/>
      <name val="Arial"/>
      <family val="2"/>
    </font>
    <font>
      <sz val="10"/>
      <name val="Arial"/>
      <family val="2"/>
    </font>
    <font>
      <b/>
      <sz val="10"/>
      <name val="Arial"/>
      <family val="2"/>
    </font>
    <font>
      <b/>
      <i/>
      <sz val="10"/>
      <name val="Arial"/>
      <family val="2"/>
    </font>
    <font>
      <sz val="8"/>
      <name val="Courier New"/>
      <family val="3"/>
    </font>
    <font>
      <sz val="9"/>
      <name val="Courier New"/>
      <family val="3"/>
    </font>
    <font>
      <i/>
      <sz val="10"/>
      <name val="Arial"/>
      <family val="2"/>
    </font>
    <font>
      <b/>
      <sz val="10"/>
      <name val="Arial Narrow"/>
      <family val="2"/>
    </font>
    <font>
      <b/>
      <i/>
      <sz val="9"/>
      <name val="Arial"/>
      <family val="2"/>
    </font>
    <font>
      <b/>
      <sz val="10"/>
      <color indexed="8"/>
      <name val="Arial"/>
      <family val="2"/>
    </font>
    <font>
      <b/>
      <sz val="9"/>
      <color indexed="23"/>
      <name val="Arial"/>
      <family val="2"/>
    </font>
    <font>
      <b/>
      <i/>
      <sz val="10"/>
      <color indexed="8"/>
      <name val="Arial"/>
      <family val="2"/>
    </font>
    <font>
      <sz val="10"/>
      <color indexed="8"/>
      <name val="Arial"/>
      <family val="2"/>
    </font>
    <font>
      <sz val="8"/>
      <color indexed="8"/>
      <name val="Tahoma"/>
      <family val="2"/>
    </font>
    <font>
      <sz val="8"/>
      <color indexed="8"/>
      <name val="Courier New"/>
      <family val="3"/>
    </font>
    <font>
      <b/>
      <sz val="8"/>
      <color indexed="8"/>
      <name val="Tahoma"/>
      <family val="2"/>
    </font>
    <font>
      <sz val="10"/>
      <color indexed="8"/>
      <name val="Arial"/>
      <family val="2"/>
    </font>
    <font>
      <sz val="8"/>
      <name val="Arial"/>
      <family val="2"/>
    </font>
    <font>
      <sz val="9"/>
      <name val="Arial"/>
      <family val="2"/>
    </font>
    <font>
      <sz val="9"/>
      <name val="Arial Narrow"/>
      <family val="2"/>
    </font>
    <font>
      <i/>
      <sz val="10"/>
      <color indexed="8"/>
      <name val="Arial"/>
      <family val="2"/>
    </font>
    <font>
      <b/>
      <sz val="9"/>
      <color indexed="23"/>
      <name val="Arial Narrow"/>
      <family val="2"/>
    </font>
    <font>
      <sz val="10"/>
      <name val="Calibri"/>
      <family val="2"/>
    </font>
    <font>
      <sz val="10"/>
      <color rgb="FF000000"/>
      <name val="Arial"/>
      <family val="2"/>
    </font>
    <font>
      <sz val="9"/>
      <color indexed="81"/>
      <name val="Tahoma"/>
      <family val="2"/>
    </font>
    <font>
      <b/>
      <sz val="9"/>
      <color indexed="81"/>
      <name val="Tahoma"/>
      <family val="2"/>
    </font>
    <font>
      <sz val="9"/>
      <name val="宋体"/>
      <family val="3"/>
      <charset val="134"/>
    </font>
    <font>
      <sz val="8"/>
      <color indexed="8"/>
      <name val="宋体"/>
      <family val="3"/>
      <charset val="134"/>
    </font>
  </fonts>
  <fills count="10">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27"/>
        <bgColor indexed="24"/>
      </patternFill>
    </fill>
    <fill>
      <patternFill patternType="solid">
        <fgColor indexed="22"/>
        <bgColor indexed="24"/>
      </patternFill>
    </fill>
    <fill>
      <patternFill patternType="solid">
        <fgColor indexed="42"/>
        <bgColor indexed="24"/>
      </patternFill>
    </fill>
    <fill>
      <patternFill patternType="solid">
        <fgColor indexed="27"/>
        <bgColor indexed="64"/>
      </patternFill>
    </fill>
    <fill>
      <patternFill patternType="solid">
        <fgColor indexed="15"/>
        <bgColor indexed="64"/>
      </patternFill>
    </fill>
    <fill>
      <patternFill patternType="solid">
        <fgColor rgb="FFCCFFCC"/>
        <bgColor indexed="64"/>
      </patternFill>
    </fill>
  </fills>
  <borders count="19">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125">
    <xf numFmtId="0" fontId="0" fillId="0" borderId="0" xfId="0"/>
    <xf numFmtId="0" fontId="0" fillId="2" borderId="0" xfId="0" applyFill="1"/>
    <xf numFmtId="0" fontId="0" fillId="2" borderId="1" xfId="0" applyFill="1" applyBorder="1"/>
    <xf numFmtId="0" fontId="2" fillId="0" borderId="0" xfId="0" applyFont="1"/>
    <xf numFmtId="0" fontId="2" fillId="0" borderId="0" xfId="0" quotePrefix="1" applyFont="1"/>
    <xf numFmtId="0" fontId="3" fillId="0" borderId="0" xfId="0" applyFont="1"/>
    <xf numFmtId="0" fontId="4" fillId="0" borderId="0" xfId="0" applyFont="1"/>
    <xf numFmtId="0" fontId="5" fillId="0" borderId="0" xfId="0" applyFont="1"/>
    <xf numFmtId="0" fontId="6" fillId="0" borderId="0" xfId="0" applyFont="1"/>
    <xf numFmtId="0" fontId="0" fillId="0" borderId="0" xfId="0" applyAlignment="1">
      <alignment horizontal="left"/>
    </xf>
    <xf numFmtId="176" fontId="0" fillId="0" borderId="0" xfId="0" applyNumberFormat="1" applyAlignment="1">
      <alignment horizontal="left"/>
    </xf>
    <xf numFmtId="2" fontId="0" fillId="0" borderId="0" xfId="0" applyNumberFormat="1" applyAlignment="1">
      <alignment horizontal="left"/>
    </xf>
    <xf numFmtId="177" fontId="0" fillId="0" borderId="0" xfId="0" applyNumberFormat="1" applyAlignment="1">
      <alignment horizontal="left"/>
    </xf>
    <xf numFmtId="177"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center"/>
    </xf>
    <xf numFmtId="176" fontId="3" fillId="0" borderId="0" xfId="0" applyNumberFormat="1" applyFont="1" applyAlignment="1"/>
    <xf numFmtId="0" fontId="0" fillId="0" borderId="0" xfId="0" applyAlignment="1"/>
    <xf numFmtId="176" fontId="2" fillId="0" borderId="0" xfId="0" applyNumberFormat="1" applyFont="1" applyAlignment="1">
      <alignment horizontal="left"/>
    </xf>
    <xf numFmtId="176" fontId="0" fillId="0" borderId="0" xfId="0" applyNumberFormat="1" applyAlignment="1">
      <alignment horizontal="right"/>
    </xf>
    <xf numFmtId="2" fontId="0" fillId="0" borderId="0" xfId="0" applyNumberFormat="1" applyAlignment="1">
      <alignment horizontal="right"/>
    </xf>
    <xf numFmtId="177" fontId="0" fillId="0" borderId="0" xfId="0" applyNumberFormat="1" applyAlignment="1">
      <alignment horizontal="right"/>
    </xf>
    <xf numFmtId="2" fontId="3" fillId="3" borderId="2" xfId="0" applyNumberFormat="1" applyFont="1" applyFill="1" applyBorder="1" applyAlignment="1"/>
    <xf numFmtId="2" fontId="9" fillId="3" borderId="3" xfId="0" applyNumberFormat="1" applyFont="1" applyFill="1" applyBorder="1" applyAlignment="1">
      <alignment horizontal="left"/>
    </xf>
    <xf numFmtId="177" fontId="9" fillId="3" borderId="3" xfId="0" applyNumberFormat="1" applyFont="1" applyFill="1" applyBorder="1" applyAlignment="1">
      <alignment horizontal="center"/>
    </xf>
    <xf numFmtId="2" fontId="2" fillId="3" borderId="3" xfId="0" applyNumberFormat="1" applyFont="1" applyFill="1" applyBorder="1" applyAlignment="1">
      <alignment horizontal="center"/>
    </xf>
    <xf numFmtId="177" fontId="10" fillId="3" borderId="3" xfId="0" applyNumberFormat="1" applyFont="1" applyFill="1" applyBorder="1" applyAlignment="1">
      <alignment horizontal="center"/>
    </xf>
    <xf numFmtId="0" fontId="0" fillId="3" borderId="4" xfId="0" applyFill="1" applyBorder="1" applyAlignment="1">
      <alignment horizontal="left"/>
    </xf>
    <xf numFmtId="0" fontId="4" fillId="4" borderId="5" xfId="0" applyFont="1" applyFill="1" applyBorder="1" applyAlignment="1"/>
    <xf numFmtId="176" fontId="4" fillId="4" borderId="0" xfId="0" applyNumberFormat="1" applyFont="1" applyFill="1" applyAlignment="1">
      <alignment horizontal="left"/>
    </xf>
    <xf numFmtId="2" fontId="4" fillId="4" borderId="0" xfId="0" applyNumberFormat="1" applyFont="1" applyFill="1" applyAlignment="1">
      <alignment horizontal="left"/>
    </xf>
    <xf numFmtId="177" fontId="4" fillId="4" borderId="0" xfId="0" applyNumberFormat="1" applyFont="1" applyFill="1" applyAlignment="1">
      <alignment horizontal="left"/>
    </xf>
    <xf numFmtId="2" fontId="0" fillId="3" borderId="0" xfId="0" applyNumberFormat="1" applyFill="1" applyAlignment="1">
      <alignment horizontal="center"/>
    </xf>
    <xf numFmtId="177" fontId="0" fillId="3" borderId="0" xfId="0" applyNumberFormat="1" applyFill="1" applyAlignment="1">
      <alignment horizontal="center"/>
    </xf>
    <xf numFmtId="2" fontId="0" fillId="3" borderId="6" xfId="0" applyNumberFormat="1" applyFill="1" applyBorder="1" applyAlignment="1">
      <alignment horizontal="center"/>
    </xf>
    <xf numFmtId="0" fontId="0" fillId="3" borderId="6" xfId="0" applyFill="1" applyBorder="1" applyAlignment="1">
      <alignment horizontal="left"/>
    </xf>
    <xf numFmtId="2" fontId="12" fillId="2" borderId="0" xfId="0" applyNumberFormat="1" applyFont="1" applyFill="1" applyAlignment="1">
      <alignment horizontal="left"/>
    </xf>
    <xf numFmtId="2" fontId="12" fillId="2" borderId="6" xfId="0" applyNumberFormat="1" applyFont="1" applyFill="1" applyBorder="1" applyAlignment="1">
      <alignment horizontal="left"/>
    </xf>
    <xf numFmtId="2" fontId="0" fillId="3" borderId="0" xfId="0" applyNumberFormat="1" applyFill="1" applyAlignment="1">
      <alignment horizontal="left"/>
    </xf>
    <xf numFmtId="0" fontId="0" fillId="3" borderId="7" xfId="0" applyFill="1" applyBorder="1" applyAlignment="1">
      <alignment horizontal="left"/>
    </xf>
    <xf numFmtId="0" fontId="4" fillId="4" borderId="8" xfId="0" applyFont="1" applyFill="1" applyBorder="1" applyAlignment="1"/>
    <xf numFmtId="0" fontId="4" fillId="4" borderId="1" xfId="0" applyNumberFormat="1" applyFont="1" applyFill="1" applyBorder="1" applyAlignment="1"/>
    <xf numFmtId="2" fontId="4" fillId="4" borderId="1" xfId="0" quotePrefix="1" applyNumberFormat="1" applyFont="1" applyFill="1" applyBorder="1" applyAlignment="1">
      <alignment horizontal="left"/>
    </xf>
    <xf numFmtId="2" fontId="4" fillId="4" borderId="1" xfId="0" applyNumberFormat="1" applyFont="1" applyFill="1" applyBorder="1" applyAlignment="1">
      <alignment horizontal="left"/>
    </xf>
    <xf numFmtId="177" fontId="4" fillId="4" borderId="1" xfId="0" applyNumberFormat="1" applyFont="1" applyFill="1" applyBorder="1" applyAlignment="1">
      <alignment horizontal="left"/>
    </xf>
    <xf numFmtId="2" fontId="12" fillId="5" borderId="1" xfId="0" applyNumberFormat="1" applyFont="1" applyFill="1" applyBorder="1" applyAlignment="1">
      <alignment horizontal="left"/>
    </xf>
    <xf numFmtId="2" fontId="12" fillId="5" borderId="9" xfId="0" applyNumberFormat="1" applyFont="1" applyFill="1" applyBorder="1" applyAlignment="1">
      <alignment horizontal="left"/>
    </xf>
    <xf numFmtId="2" fontId="7" fillId="6" borderId="1" xfId="0" applyNumberFormat="1" applyFont="1" applyFill="1" applyBorder="1" applyAlignment="1">
      <alignment horizontal="left"/>
    </xf>
    <xf numFmtId="177" fontId="7" fillId="6" borderId="1" xfId="0" applyNumberFormat="1" applyFont="1" applyFill="1" applyBorder="1" applyAlignment="1">
      <alignment horizontal="center"/>
    </xf>
    <xf numFmtId="2" fontId="7" fillId="6" borderId="1" xfId="0" applyNumberFormat="1" applyFont="1" applyFill="1" applyBorder="1" applyAlignment="1">
      <alignment horizontal="center"/>
    </xf>
    <xf numFmtId="2" fontId="7" fillId="6" borderId="0" xfId="0" applyNumberFormat="1" applyFont="1" applyFill="1" applyAlignment="1">
      <alignment horizontal="left"/>
    </xf>
    <xf numFmtId="177" fontId="7" fillId="6" borderId="0" xfId="0" applyNumberFormat="1" applyFont="1" applyFill="1" applyAlignment="1">
      <alignment horizontal="center"/>
    </xf>
    <xf numFmtId="0" fontId="0" fillId="3" borderId="10" xfId="0" applyFill="1" applyBorder="1" applyAlignment="1">
      <alignment horizontal="left"/>
    </xf>
    <xf numFmtId="0" fontId="13" fillId="0" borderId="0" xfId="0" applyFont="1" applyAlignment="1"/>
    <xf numFmtId="176" fontId="13" fillId="0" borderId="0" xfId="0" applyNumberFormat="1" applyFont="1" applyAlignment="1">
      <alignment horizontal="left"/>
    </xf>
    <xf numFmtId="2" fontId="13" fillId="0" borderId="0" xfId="0" applyNumberFormat="1" applyFont="1" applyAlignment="1">
      <alignment horizontal="left"/>
    </xf>
    <xf numFmtId="177" fontId="13" fillId="0" borderId="0" xfId="0" applyNumberFormat="1" applyFont="1" applyAlignment="1">
      <alignment horizontal="left"/>
    </xf>
    <xf numFmtId="0" fontId="8" fillId="0" borderId="0" xfId="0" applyFont="1"/>
    <xf numFmtId="0" fontId="8" fillId="0" borderId="0" xfId="0" applyFont="1" applyAlignment="1"/>
    <xf numFmtId="0" fontId="0" fillId="2" borderId="11" xfId="0" applyFill="1" applyBorder="1"/>
    <xf numFmtId="0" fontId="0" fillId="2" borderId="2" xfId="0" applyFill="1" applyBorder="1" applyAlignment="1">
      <alignment horizontal="left"/>
    </xf>
    <xf numFmtId="0" fontId="0" fillId="2" borderId="12" xfId="0" applyFill="1" applyBorder="1"/>
    <xf numFmtId="0" fontId="0" fillId="7" borderId="10" xfId="0" applyFill="1" applyBorder="1"/>
    <xf numFmtId="176" fontId="2" fillId="0" borderId="6" xfId="0" applyNumberFormat="1" applyFont="1" applyBorder="1" applyAlignment="1">
      <alignment horizontal="left"/>
    </xf>
    <xf numFmtId="0" fontId="0" fillId="7" borderId="9" xfId="0" applyFill="1" applyBorder="1"/>
    <xf numFmtId="0" fontId="0" fillId="0" borderId="9" xfId="0" applyBorder="1" applyAlignment="1">
      <alignment horizontal="left"/>
    </xf>
    <xf numFmtId="176" fontId="19" fillId="7" borderId="10" xfId="0" applyNumberFormat="1" applyFont="1" applyFill="1" applyBorder="1" applyAlignment="1">
      <alignment horizontal="center"/>
    </xf>
    <xf numFmtId="176" fontId="19" fillId="7" borderId="13" xfId="0" applyNumberFormat="1" applyFont="1" applyFill="1" applyBorder="1" applyAlignment="1">
      <alignment horizontal="center"/>
    </xf>
    <xf numFmtId="2" fontId="19" fillId="7" borderId="13" xfId="0" applyNumberFormat="1" applyFont="1" applyFill="1" applyBorder="1" applyAlignment="1"/>
    <xf numFmtId="2" fontId="19" fillId="7" borderId="10" xfId="0" applyNumberFormat="1" applyFont="1" applyFill="1" applyBorder="1" applyAlignment="1">
      <alignment horizontal="center"/>
    </xf>
    <xf numFmtId="0" fontId="1" fillId="0" borderId="0" xfId="0" applyFont="1"/>
    <xf numFmtId="2" fontId="20" fillId="7" borderId="13" xfId="0" applyNumberFormat="1" applyFont="1" applyFill="1" applyBorder="1" applyAlignment="1">
      <alignment horizontal="center"/>
    </xf>
    <xf numFmtId="0" fontId="3" fillId="9" borderId="14" xfId="0" applyFont="1" applyFill="1" applyBorder="1" applyAlignment="1">
      <alignment horizontal="left"/>
    </xf>
    <xf numFmtId="0" fontId="0" fillId="9" borderId="3" xfId="0" applyFill="1" applyBorder="1" applyAlignment="1">
      <alignment horizontal="left"/>
    </xf>
    <xf numFmtId="0" fontId="0" fillId="9" borderId="15" xfId="0" applyFill="1" applyBorder="1" applyAlignment="1">
      <alignment horizontal="left"/>
    </xf>
    <xf numFmtId="0" fontId="1" fillId="9" borderId="5" xfId="0" applyFont="1" applyFill="1" applyBorder="1" applyAlignment="1">
      <alignment horizontal="left"/>
    </xf>
    <xf numFmtId="0" fontId="1" fillId="9" borderId="0" xfId="0" applyFont="1" applyFill="1" applyBorder="1" applyAlignment="1">
      <alignment horizontal="left"/>
    </xf>
    <xf numFmtId="0" fontId="1" fillId="9" borderId="6" xfId="0" applyFont="1" applyFill="1" applyBorder="1" applyAlignment="1">
      <alignment horizontal="left"/>
    </xf>
    <xf numFmtId="0" fontId="0" fillId="9" borderId="8" xfId="0" applyFill="1" applyBorder="1" applyAlignment="1">
      <alignment horizontal="left"/>
    </xf>
    <xf numFmtId="0" fontId="0" fillId="9" borderId="1" xfId="0" applyFill="1" applyBorder="1" applyAlignment="1">
      <alignment horizontal="left"/>
    </xf>
    <xf numFmtId="0" fontId="0" fillId="9" borderId="9" xfId="0" applyFill="1" applyBorder="1" applyAlignment="1">
      <alignment horizontal="left"/>
    </xf>
    <xf numFmtId="0" fontId="1" fillId="0" borderId="0" xfId="0" applyFont="1" applyAlignment="1">
      <alignment horizontal="left"/>
    </xf>
    <xf numFmtId="2" fontId="21" fillId="0" borderId="0" xfId="0" applyNumberFormat="1" applyFont="1" applyFill="1" applyBorder="1" applyAlignment="1">
      <alignment horizontal="left"/>
    </xf>
    <xf numFmtId="2" fontId="7" fillId="0" borderId="0" xfId="0" applyNumberFormat="1" applyFont="1" applyFill="1" applyBorder="1" applyAlignment="1">
      <alignment horizontal="left"/>
    </xf>
    <xf numFmtId="2" fontId="1" fillId="0" borderId="0" xfId="0" applyNumberFormat="1" applyFont="1" applyFill="1" applyBorder="1" applyAlignment="1">
      <alignment horizontal="left"/>
    </xf>
    <xf numFmtId="0" fontId="1" fillId="0" borderId="0" xfId="0" applyFont="1" applyFill="1" applyBorder="1" applyAlignment="1">
      <alignment horizontal="left"/>
    </xf>
    <xf numFmtId="2" fontId="22" fillId="7" borderId="6" xfId="0" applyNumberFormat="1" applyFont="1" applyFill="1" applyBorder="1" applyAlignment="1">
      <alignment horizontal="left"/>
    </xf>
    <xf numFmtId="2" fontId="1" fillId="0" borderId="0" xfId="0" applyNumberFormat="1" applyFont="1" applyAlignment="1">
      <alignment horizontal="right"/>
    </xf>
    <xf numFmtId="2" fontId="22" fillId="7" borderId="0" xfId="0" applyNumberFormat="1" applyFont="1" applyFill="1" applyAlignment="1">
      <alignment horizontal="left"/>
    </xf>
    <xf numFmtId="0" fontId="1" fillId="0" borderId="0" xfId="0" quotePrefix="1" applyFont="1"/>
    <xf numFmtId="179" fontId="3" fillId="0" borderId="0" xfId="0" applyNumberFormat="1" applyFont="1" applyAlignment="1"/>
    <xf numFmtId="179" fontId="0" fillId="0" borderId="0" xfId="0" applyNumberFormat="1" applyAlignment="1">
      <alignment horizontal="left"/>
    </xf>
    <xf numFmtId="179" fontId="19" fillId="7" borderId="13" xfId="0" applyNumberFormat="1" applyFont="1" applyFill="1" applyBorder="1" applyAlignment="1">
      <alignment horizontal="center"/>
    </xf>
    <xf numFmtId="179" fontId="3" fillId="3" borderId="11" xfId="0" applyNumberFormat="1" applyFont="1" applyFill="1" applyBorder="1" applyAlignment="1"/>
    <xf numFmtId="179" fontId="22" fillId="3" borderId="0" xfId="0" applyNumberFormat="1" applyFont="1" applyFill="1" applyAlignment="1">
      <alignment horizontal="left"/>
    </xf>
    <xf numFmtId="179" fontId="4" fillId="2" borderId="0" xfId="0" applyNumberFormat="1" applyFont="1" applyFill="1" applyAlignment="1">
      <alignment horizontal="left"/>
    </xf>
    <xf numFmtId="179" fontId="4" fillId="2" borderId="1" xfId="0" applyNumberFormat="1" applyFont="1" applyFill="1" applyBorder="1" applyAlignment="1">
      <alignment horizontal="left"/>
    </xf>
    <xf numFmtId="179" fontId="13" fillId="0" borderId="0" xfId="0" applyNumberFormat="1" applyFont="1" applyAlignment="1">
      <alignment horizontal="left"/>
    </xf>
    <xf numFmtId="177" fontId="3" fillId="0" borderId="0" xfId="0" applyNumberFormat="1" applyFont="1" applyAlignment="1"/>
    <xf numFmtId="177" fontId="3" fillId="3" borderId="2" xfId="0" applyNumberFormat="1" applyFont="1" applyFill="1" applyBorder="1" applyAlignment="1"/>
    <xf numFmtId="177" fontId="22" fillId="3" borderId="0" xfId="0" applyNumberFormat="1" applyFont="1" applyFill="1" applyAlignment="1">
      <alignment horizontal="left"/>
    </xf>
    <xf numFmtId="177" fontId="4" fillId="2" borderId="0" xfId="0" applyNumberFormat="1" applyFont="1" applyFill="1" applyAlignment="1">
      <alignment horizontal="left"/>
    </xf>
    <xf numFmtId="177" fontId="4" fillId="2" borderId="1" xfId="0" applyNumberFormat="1" applyFont="1" applyFill="1" applyBorder="1" applyAlignment="1">
      <alignment horizontal="left"/>
    </xf>
    <xf numFmtId="179" fontId="11" fillId="3" borderId="5" xfId="0" applyNumberFormat="1" applyFont="1" applyFill="1" applyBorder="1" applyAlignment="1">
      <alignment horizontal="left"/>
    </xf>
    <xf numFmtId="179" fontId="4" fillId="3" borderId="5" xfId="0" applyNumberFormat="1" applyFont="1" applyFill="1" applyBorder="1" applyAlignment="1">
      <alignment horizontal="left"/>
    </xf>
    <xf numFmtId="179" fontId="4" fillId="3" borderId="8" xfId="0" applyNumberFormat="1" applyFont="1" applyFill="1" applyBorder="1" applyAlignment="1">
      <alignment horizontal="left"/>
    </xf>
    <xf numFmtId="177" fontId="11" fillId="3" borderId="0" xfId="0" applyNumberFormat="1" applyFont="1" applyFill="1" applyAlignment="1">
      <alignment horizontal="left"/>
    </xf>
    <xf numFmtId="0" fontId="1" fillId="0" borderId="0" xfId="0" applyFont="1" applyAlignment="1">
      <alignment wrapText="1"/>
    </xf>
    <xf numFmtId="0" fontId="2" fillId="0" borderId="0" xfId="0" applyNumberFormat="1" applyFont="1" applyAlignment="1">
      <alignment horizontal="left"/>
    </xf>
    <xf numFmtId="0" fontId="1" fillId="0" borderId="0" xfId="0" applyFont="1" applyAlignment="1">
      <alignment horizontal="right"/>
    </xf>
    <xf numFmtId="0" fontId="1" fillId="4" borderId="13" xfId="0" quotePrefix="1" applyNumberFormat="1" applyFont="1" applyFill="1" applyBorder="1" applyAlignment="1">
      <alignment horizontal="left"/>
    </xf>
    <xf numFmtId="2" fontId="0" fillId="0" borderId="18" xfId="0" applyNumberFormat="1" applyBorder="1" applyAlignment="1">
      <alignment horizontal="center" vertical="center"/>
    </xf>
    <xf numFmtId="0" fontId="0" fillId="0" borderId="18" xfId="0" applyBorder="1" applyAlignment="1">
      <alignment horizontal="center" vertical="center"/>
    </xf>
    <xf numFmtId="178" fontId="3" fillId="7" borderId="11" xfId="0" applyNumberFormat="1" applyFont="1" applyFill="1" applyBorder="1" applyAlignment="1">
      <alignment horizontal="left"/>
    </xf>
    <xf numFmtId="178" fontId="3" fillId="7" borderId="2" xfId="0" applyNumberFormat="1" applyFont="1" applyFill="1" applyBorder="1" applyAlignment="1">
      <alignment horizontal="left"/>
    </xf>
    <xf numFmtId="178" fontId="3" fillId="7" borderId="12" xfId="0" applyNumberFormat="1" applyFont="1" applyFill="1" applyBorder="1" applyAlignment="1">
      <alignment horizontal="left"/>
    </xf>
    <xf numFmtId="2" fontId="10" fillId="3" borderId="11" xfId="0" applyNumberFormat="1" applyFont="1" applyFill="1" applyBorder="1" applyAlignment="1">
      <alignment horizontal="left"/>
    </xf>
    <xf numFmtId="2" fontId="10" fillId="3" borderId="2" xfId="0" applyNumberFormat="1" applyFont="1" applyFill="1" applyBorder="1" applyAlignment="1">
      <alignment horizontal="left"/>
    </xf>
    <xf numFmtId="2" fontId="0" fillId="3" borderId="11" xfId="0" applyNumberFormat="1" applyFill="1" applyBorder="1" applyAlignment="1">
      <alignment horizontal="center"/>
    </xf>
    <xf numFmtId="2" fontId="0" fillId="3" borderId="2" xfId="0" applyNumberFormat="1" applyFill="1" applyBorder="1" applyAlignment="1">
      <alignment horizontal="center"/>
    </xf>
    <xf numFmtId="2" fontId="0" fillId="3" borderId="16" xfId="0" applyNumberFormat="1" applyFill="1" applyBorder="1" applyAlignment="1">
      <alignment horizontal="center"/>
    </xf>
    <xf numFmtId="2" fontId="1" fillId="3" borderId="17" xfId="0" applyNumberFormat="1" applyFont="1" applyFill="1" applyBorder="1" applyAlignment="1">
      <alignment horizontal="center"/>
    </xf>
    <xf numFmtId="0" fontId="17" fillId="8" borderId="11" xfId="0" applyFont="1" applyFill="1" applyBorder="1" applyAlignment="1">
      <alignment horizontal="left"/>
    </xf>
    <xf numFmtId="0" fontId="17" fillId="8" borderId="2" xfId="0" applyFont="1" applyFill="1" applyBorder="1" applyAlignment="1">
      <alignment horizontal="left"/>
    </xf>
    <xf numFmtId="0" fontId="17" fillId="8" borderId="16" xfId="0" applyFont="1" applyFill="1" applyBorder="1" applyAlignment="1">
      <alignment horizontal="left"/>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447675</xdr:colOff>
      <xdr:row>0</xdr:row>
      <xdr:rowOff>133350</xdr:rowOff>
    </xdr:from>
    <xdr:to>
      <xdr:col>1</xdr:col>
      <xdr:colOff>5257800</xdr:colOff>
      <xdr:row>3</xdr:row>
      <xdr:rowOff>0</xdr:rowOff>
    </xdr:to>
    <xdr:sp macro="" textlink="">
      <xdr:nvSpPr>
        <xdr:cNvPr id="10241" name="Text Box 1">
          <a:extLst>
            <a:ext uri="{FF2B5EF4-FFF2-40B4-BE49-F238E27FC236}">
              <a16:creationId xmlns:a16="http://schemas.microsoft.com/office/drawing/2014/main" id="{00000000-0008-0000-0000-000001280000}"/>
            </a:ext>
          </a:extLst>
        </xdr:cNvPr>
        <xdr:cNvSpPr txBox="1">
          <a:spLocks noChangeArrowheads="1"/>
        </xdr:cNvSpPr>
      </xdr:nvSpPr>
      <xdr:spPr bwMode="auto">
        <a:xfrm>
          <a:off x="447675" y="133350"/>
          <a:ext cx="5295900" cy="1457325"/>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400" b="1" i="1" u="none" strike="noStrike" baseline="0">
              <a:solidFill>
                <a:srgbClr val="000000"/>
              </a:solidFill>
              <a:latin typeface="Arial"/>
              <a:cs typeface="Arial"/>
            </a:rPr>
            <a:t>co2sys.xls</a:t>
          </a:r>
          <a:endParaRPr lang="en-US" sz="1000" b="0" i="0" u="none" strike="noStrike" baseline="0">
            <a:solidFill>
              <a:srgbClr val="000000"/>
            </a:solidFill>
            <a:latin typeface="Arial"/>
            <a:cs typeface="Arial"/>
          </a:endParaRPr>
        </a:p>
        <a:p>
          <a:pPr algn="l" rtl="0">
            <a:defRPr sz="1000"/>
          </a:pPr>
          <a:r>
            <a:rPr lang="en-US" sz="1200" b="0" i="1" u="none" strike="noStrike" baseline="0">
              <a:solidFill>
                <a:srgbClr val="000000"/>
              </a:solidFill>
              <a:latin typeface="Arial"/>
              <a:cs typeface="Arial"/>
            </a:rPr>
            <a:t>A calculator for the CO2 system in seawater for Microsoft Excel/VBA</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200" b="0" i="1" u="none" strike="noStrike" baseline="0">
              <a:solidFill>
                <a:srgbClr val="000000"/>
              </a:solidFill>
              <a:latin typeface="Arial"/>
              <a:cs typeface="Arial"/>
            </a:rPr>
            <a:t>Greg Pelletier, Ernie Lewis, and Doug Wallace</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900" b="0" i="1" u="none" strike="noStrike" baseline="0">
              <a:solidFill>
                <a:srgbClr val="000000"/>
              </a:solidFill>
              <a:latin typeface="Arial"/>
              <a:cs typeface="Arial"/>
            </a:rPr>
            <a:t>Washington State Department of Ecology, Olympia, WA</a:t>
          </a:r>
        </a:p>
        <a:p>
          <a:pPr algn="l" rtl="0">
            <a:defRPr sz="1000"/>
          </a:pPr>
          <a:r>
            <a:rPr lang="en-US" sz="900" b="0" i="1" u="none" strike="noStrike" baseline="0">
              <a:solidFill>
                <a:srgbClr val="000000"/>
              </a:solidFill>
              <a:latin typeface="Arial"/>
              <a:cs typeface="Arial"/>
            </a:rPr>
            <a:t>Brookhaven National Laboratory, Upton, NY</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45720</xdr:rowOff>
        </xdr:from>
        <xdr:to>
          <xdr:col>9</xdr:col>
          <xdr:colOff>1028700</xdr:colOff>
          <xdr:row>4</xdr:row>
          <xdr:rowOff>76200</xdr:rowOff>
        </xdr:to>
        <xdr:sp macro="" textlink="">
          <xdr:nvSpPr>
            <xdr:cNvPr id="12460" name="Button 172" hidden="1">
              <a:extLst>
                <a:ext uri="{63B3BB69-23CF-44E3-9099-C40C66FF867C}">
                  <a14:compatExt spid="_x0000_s12460"/>
                </a:ext>
                <a:ext uri="{FF2B5EF4-FFF2-40B4-BE49-F238E27FC236}">
                  <a16:creationId xmlns:a16="http://schemas.microsoft.com/office/drawing/2014/main" id="{00000000-0008-0000-0100-0000A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reset headers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2</xdr:row>
          <xdr:rowOff>22860</xdr:rowOff>
        </xdr:from>
        <xdr:to>
          <xdr:col>1</xdr:col>
          <xdr:colOff>373380</xdr:colOff>
          <xdr:row>3</xdr:row>
          <xdr:rowOff>152400</xdr:rowOff>
        </xdr:to>
        <xdr:sp macro="" textlink="">
          <xdr:nvSpPr>
            <xdr:cNvPr id="12480" name="Button 192" hidden="1">
              <a:extLst>
                <a:ext uri="{63B3BB69-23CF-44E3-9099-C40C66FF867C}">
                  <a14:compatExt spid="_x0000_s12480"/>
                </a:ext>
                <a:ext uri="{FF2B5EF4-FFF2-40B4-BE49-F238E27FC236}">
                  <a16:creationId xmlns:a16="http://schemas.microsoft.com/office/drawing/2014/main" id="{00000000-0008-0000-0100-0000C0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run co2sys</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1499"/>
  <sheetViews>
    <sheetView showGridLines="0" workbookViewId="0">
      <pane ySplit="2" topLeftCell="A786" activePane="bottomLeft" state="frozen"/>
      <selection pane="bottomLeft" activeCell="B15" sqref="B15"/>
    </sheetView>
  </sheetViews>
  <sheetFormatPr defaultRowHeight="13.2" x14ac:dyDescent="0.25"/>
  <cols>
    <col min="1" max="1" width="7.33203125" customWidth="1"/>
    <col min="2" max="2" width="81.44140625" bestFit="1" customWidth="1"/>
  </cols>
  <sheetData>
    <row r="1" spans="2:2" s="1" customFormat="1" x14ac:dyDescent="0.25"/>
    <row r="2" spans="2:2" s="2" customFormat="1" ht="99.9" customHeight="1" x14ac:dyDescent="0.25"/>
    <row r="4" spans="2:2" x14ac:dyDescent="0.25">
      <c r="B4" s="3" t="s">
        <v>911</v>
      </c>
    </row>
    <row r="5" spans="2:2" x14ac:dyDescent="0.25">
      <c r="B5" s="4" t="s">
        <v>912</v>
      </c>
    </row>
    <row r="6" spans="2:2" x14ac:dyDescent="0.25">
      <c r="B6" s="3" t="s">
        <v>913</v>
      </c>
    </row>
    <row r="7" spans="2:2" x14ac:dyDescent="0.25">
      <c r="B7" s="3" t="s">
        <v>914</v>
      </c>
    </row>
    <row r="8" spans="2:2" x14ac:dyDescent="0.25">
      <c r="B8" s="3" t="s">
        <v>915</v>
      </c>
    </row>
    <row r="9" spans="2:2" x14ac:dyDescent="0.25">
      <c r="B9" s="3"/>
    </row>
    <row r="10" spans="2:2" x14ac:dyDescent="0.25">
      <c r="B10" s="3" t="s">
        <v>916</v>
      </c>
    </row>
    <row r="11" spans="2:2" x14ac:dyDescent="0.25">
      <c r="B11" s="3" t="s">
        <v>917</v>
      </c>
    </row>
    <row r="12" spans="2:2" x14ac:dyDescent="0.25">
      <c r="B12" s="3" t="s">
        <v>918</v>
      </c>
    </row>
    <row r="13" spans="2:2" x14ac:dyDescent="0.25">
      <c r="B13" s="3" t="s">
        <v>919</v>
      </c>
    </row>
    <row r="14" spans="2:2" x14ac:dyDescent="0.25">
      <c r="B14" s="3" t="s">
        <v>920</v>
      </c>
    </row>
    <row r="15" spans="2:2" x14ac:dyDescent="0.25">
      <c r="B15" s="3" t="s">
        <v>921</v>
      </c>
    </row>
    <row r="16" spans="2:2" x14ac:dyDescent="0.25">
      <c r="B16" s="3"/>
    </row>
    <row r="17" spans="2:2" x14ac:dyDescent="0.25">
      <c r="B17" s="3" t="s">
        <v>922</v>
      </c>
    </row>
    <row r="18" spans="2:2" x14ac:dyDescent="0.25">
      <c r="B18" s="3" t="s">
        <v>923</v>
      </c>
    </row>
    <row r="19" spans="2:2" x14ac:dyDescent="0.25">
      <c r="B19" s="3" t="s">
        <v>924</v>
      </c>
    </row>
    <row r="20" spans="2:2" x14ac:dyDescent="0.25">
      <c r="B20" s="3" t="s">
        <v>925</v>
      </c>
    </row>
    <row r="21" spans="2:2" x14ac:dyDescent="0.25">
      <c r="B21" s="3" t="s">
        <v>926</v>
      </c>
    </row>
    <row r="22" spans="2:2" x14ac:dyDescent="0.25">
      <c r="B22" s="3" t="s">
        <v>927</v>
      </c>
    </row>
    <row r="23" spans="2:2" x14ac:dyDescent="0.25">
      <c r="B23" s="3" t="s">
        <v>928</v>
      </c>
    </row>
    <row r="24" spans="2:2" x14ac:dyDescent="0.25">
      <c r="B24" s="3"/>
    </row>
    <row r="25" spans="2:2" x14ac:dyDescent="0.25">
      <c r="B25" s="5" t="s">
        <v>929</v>
      </c>
    </row>
    <row r="27" spans="2:2" x14ac:dyDescent="0.25">
      <c r="B27" t="s">
        <v>930</v>
      </c>
    </row>
    <row r="28" spans="2:2" x14ac:dyDescent="0.25">
      <c r="B28" t="s">
        <v>931</v>
      </c>
    </row>
    <row r="29" spans="2:2" x14ac:dyDescent="0.25">
      <c r="B29" t="s">
        <v>932</v>
      </c>
    </row>
    <row r="30" spans="2:2" x14ac:dyDescent="0.25">
      <c r="B30" t="s">
        <v>933</v>
      </c>
    </row>
    <row r="31" spans="2:2" x14ac:dyDescent="0.25">
      <c r="B31" t="s">
        <v>934</v>
      </c>
    </row>
    <row r="32" spans="2:2" x14ac:dyDescent="0.25">
      <c r="B32" t="s">
        <v>935</v>
      </c>
    </row>
    <row r="33" spans="2:2" x14ac:dyDescent="0.25">
      <c r="B33" t="s">
        <v>936</v>
      </c>
    </row>
    <row r="34" spans="2:2" x14ac:dyDescent="0.25">
      <c r="B34" t="s">
        <v>937</v>
      </c>
    </row>
    <row r="35" spans="2:2" x14ac:dyDescent="0.25">
      <c r="B35" t="s">
        <v>570</v>
      </c>
    </row>
    <row r="36" spans="2:2" x14ac:dyDescent="0.25">
      <c r="B36" t="s">
        <v>571</v>
      </c>
    </row>
    <row r="38" spans="2:2" x14ac:dyDescent="0.25">
      <c r="B38" t="s">
        <v>572</v>
      </c>
    </row>
    <row r="39" spans="2:2" x14ac:dyDescent="0.25">
      <c r="B39" t="s">
        <v>573</v>
      </c>
    </row>
    <row r="40" spans="2:2" x14ac:dyDescent="0.25">
      <c r="B40" t="s">
        <v>574</v>
      </c>
    </row>
    <row r="41" spans="2:2" x14ac:dyDescent="0.25">
      <c r="B41" t="s">
        <v>575</v>
      </c>
    </row>
    <row r="42" spans="2:2" x14ac:dyDescent="0.25">
      <c r="B42" t="s">
        <v>576</v>
      </c>
    </row>
    <row r="43" spans="2:2" x14ac:dyDescent="0.25">
      <c r="B43" t="s">
        <v>577</v>
      </c>
    </row>
    <row r="44" spans="2:2" x14ac:dyDescent="0.25">
      <c r="B44" t="s">
        <v>578</v>
      </c>
    </row>
    <row r="46" spans="2:2" x14ac:dyDescent="0.25">
      <c r="B46" t="s">
        <v>579</v>
      </c>
    </row>
    <row r="47" spans="2:2" x14ac:dyDescent="0.25">
      <c r="B47" t="s">
        <v>580</v>
      </c>
    </row>
    <row r="48" spans="2:2" x14ac:dyDescent="0.25">
      <c r="B48" t="s">
        <v>0</v>
      </c>
    </row>
    <row r="49" spans="2:2" x14ac:dyDescent="0.25">
      <c r="B49" t="s">
        <v>1</v>
      </c>
    </row>
    <row r="51" spans="2:2" x14ac:dyDescent="0.25">
      <c r="B51" t="s">
        <v>2</v>
      </c>
    </row>
    <row r="52" spans="2:2" x14ac:dyDescent="0.25">
      <c r="B52" t="s">
        <v>3</v>
      </c>
    </row>
    <row r="54" spans="2:2" x14ac:dyDescent="0.25">
      <c r="B54" s="5" t="s">
        <v>4</v>
      </c>
    </row>
    <row r="56" spans="2:2" x14ac:dyDescent="0.25">
      <c r="B56" t="s">
        <v>5</v>
      </c>
    </row>
    <row r="57" spans="2:2" x14ac:dyDescent="0.25">
      <c r="B57" t="s">
        <v>6</v>
      </c>
    </row>
    <row r="58" spans="2:2" x14ac:dyDescent="0.25">
      <c r="B58" t="s">
        <v>7</v>
      </c>
    </row>
    <row r="59" spans="2:2" x14ac:dyDescent="0.25">
      <c r="B59" t="s">
        <v>8</v>
      </c>
    </row>
    <row r="60" spans="2:2" x14ac:dyDescent="0.25">
      <c r="B60" t="s">
        <v>9</v>
      </c>
    </row>
    <row r="62" spans="2:2" x14ac:dyDescent="0.25">
      <c r="B62" t="s">
        <v>10</v>
      </c>
    </row>
    <row r="63" spans="2:2" x14ac:dyDescent="0.25">
      <c r="B63" t="s">
        <v>11</v>
      </c>
    </row>
    <row r="64" spans="2:2" x14ac:dyDescent="0.25">
      <c r="B64" t="s">
        <v>12</v>
      </c>
    </row>
    <row r="65" spans="2:2" x14ac:dyDescent="0.25">
      <c r="B65" t="s">
        <v>13</v>
      </c>
    </row>
    <row r="66" spans="2:2" x14ac:dyDescent="0.25">
      <c r="B66" t="s">
        <v>14</v>
      </c>
    </row>
    <row r="67" spans="2:2" x14ac:dyDescent="0.25">
      <c r="B67" t="s">
        <v>15</v>
      </c>
    </row>
    <row r="68" spans="2:2" x14ac:dyDescent="0.25">
      <c r="B68" t="s">
        <v>16</v>
      </c>
    </row>
    <row r="70" spans="2:2" x14ac:dyDescent="0.25">
      <c r="B70" t="s">
        <v>17</v>
      </c>
    </row>
    <row r="71" spans="2:2" x14ac:dyDescent="0.25">
      <c r="B71" t="s">
        <v>18</v>
      </c>
    </row>
    <row r="72" spans="2:2" x14ac:dyDescent="0.25">
      <c r="B72" t="s">
        <v>19</v>
      </c>
    </row>
    <row r="74" spans="2:2" x14ac:dyDescent="0.25">
      <c r="B74" t="s">
        <v>20</v>
      </c>
    </row>
    <row r="75" spans="2:2" x14ac:dyDescent="0.25">
      <c r="B75" t="s">
        <v>21</v>
      </c>
    </row>
    <row r="76" spans="2:2" x14ac:dyDescent="0.25">
      <c r="B76" t="s">
        <v>22</v>
      </c>
    </row>
    <row r="77" spans="2:2" x14ac:dyDescent="0.25">
      <c r="B77" t="s">
        <v>23</v>
      </c>
    </row>
    <row r="78" spans="2:2" x14ac:dyDescent="0.25">
      <c r="B78" t="s">
        <v>24</v>
      </c>
    </row>
    <row r="79" spans="2:2" x14ac:dyDescent="0.25">
      <c r="B79" t="s">
        <v>25</v>
      </c>
    </row>
    <row r="80" spans="2:2" x14ac:dyDescent="0.25">
      <c r="B80" t="s">
        <v>26</v>
      </c>
    </row>
    <row r="81" spans="2:2" x14ac:dyDescent="0.25">
      <c r="B81" t="s">
        <v>27</v>
      </c>
    </row>
    <row r="83" spans="2:2" x14ac:dyDescent="0.25">
      <c r="B83" t="s">
        <v>28</v>
      </c>
    </row>
    <row r="84" spans="2:2" x14ac:dyDescent="0.25">
      <c r="B84" t="s">
        <v>29</v>
      </c>
    </row>
    <row r="85" spans="2:2" x14ac:dyDescent="0.25">
      <c r="B85" t="s">
        <v>30</v>
      </c>
    </row>
    <row r="87" spans="2:2" x14ac:dyDescent="0.25">
      <c r="B87" s="6" t="s">
        <v>31</v>
      </c>
    </row>
    <row r="88" spans="2:2" x14ac:dyDescent="0.25">
      <c r="B88" s="6" t="s">
        <v>32</v>
      </c>
    </row>
    <row r="89" spans="2:2" x14ac:dyDescent="0.25">
      <c r="B89" t="s">
        <v>33</v>
      </c>
    </row>
    <row r="91" spans="2:2" x14ac:dyDescent="0.25">
      <c r="B91" s="5" t="s">
        <v>34</v>
      </c>
    </row>
    <row r="92" spans="2:2" x14ac:dyDescent="0.25">
      <c r="B92" s="5" t="s">
        <v>35</v>
      </c>
    </row>
    <row r="93" spans="2:2" x14ac:dyDescent="0.25">
      <c r="B93" s="5" t="s">
        <v>36</v>
      </c>
    </row>
    <row r="94" spans="2:2" x14ac:dyDescent="0.25">
      <c r="B94" s="5" t="s">
        <v>37</v>
      </c>
    </row>
    <row r="95" spans="2:2" x14ac:dyDescent="0.25">
      <c r="B95" t="s">
        <v>33</v>
      </c>
    </row>
    <row r="97" spans="2:2" x14ac:dyDescent="0.25">
      <c r="B97" s="5" t="s">
        <v>38</v>
      </c>
    </row>
    <row r="99" spans="2:2" x14ac:dyDescent="0.25">
      <c r="B99" t="s">
        <v>39</v>
      </c>
    </row>
    <row r="100" spans="2:2" x14ac:dyDescent="0.25">
      <c r="B100" t="s">
        <v>40</v>
      </c>
    </row>
    <row r="101" spans="2:2" x14ac:dyDescent="0.25">
      <c r="B101" t="s">
        <v>41</v>
      </c>
    </row>
    <row r="102" spans="2:2" x14ac:dyDescent="0.25">
      <c r="B102" t="s">
        <v>42</v>
      </c>
    </row>
    <row r="103" spans="2:2" x14ac:dyDescent="0.25">
      <c r="B103" t="s">
        <v>43</v>
      </c>
    </row>
    <row r="104" spans="2:2" x14ac:dyDescent="0.25">
      <c r="B104" t="s">
        <v>44</v>
      </c>
    </row>
    <row r="105" spans="2:2" x14ac:dyDescent="0.25">
      <c r="B105" t="s">
        <v>45</v>
      </c>
    </row>
    <row r="107" spans="2:2" x14ac:dyDescent="0.25">
      <c r="B107" t="s">
        <v>46</v>
      </c>
    </row>
    <row r="109" spans="2:2" x14ac:dyDescent="0.25">
      <c r="B109" s="4" t="s">
        <v>47</v>
      </c>
    </row>
    <row r="111" spans="2:2" x14ac:dyDescent="0.25">
      <c r="B111" s="5" t="s">
        <v>48</v>
      </c>
    </row>
    <row r="113" spans="2:2" x14ac:dyDescent="0.25">
      <c r="B113" t="s">
        <v>49</v>
      </c>
    </row>
    <row r="114" spans="2:2" x14ac:dyDescent="0.25">
      <c r="B114" t="s">
        <v>50</v>
      </c>
    </row>
    <row r="115" spans="2:2" x14ac:dyDescent="0.25">
      <c r="B115" t="s">
        <v>51</v>
      </c>
    </row>
    <row r="116" spans="2:2" x14ac:dyDescent="0.25">
      <c r="B116" t="s">
        <v>52</v>
      </c>
    </row>
    <row r="117" spans="2:2" x14ac:dyDescent="0.25">
      <c r="B117" t="s">
        <v>53</v>
      </c>
    </row>
    <row r="118" spans="2:2" x14ac:dyDescent="0.25">
      <c r="B118" t="s">
        <v>54</v>
      </c>
    </row>
    <row r="119" spans="2:2" x14ac:dyDescent="0.25">
      <c r="B119" t="s">
        <v>55</v>
      </c>
    </row>
    <row r="120" spans="2:2" x14ac:dyDescent="0.25">
      <c r="B120" t="s">
        <v>56</v>
      </c>
    </row>
    <row r="121" spans="2:2" x14ac:dyDescent="0.25">
      <c r="B121" t="s">
        <v>57</v>
      </c>
    </row>
    <row r="122" spans="2:2" x14ac:dyDescent="0.25">
      <c r="B122" t="s">
        <v>58</v>
      </c>
    </row>
    <row r="123" spans="2:2" x14ac:dyDescent="0.25">
      <c r="B123" t="s">
        <v>59</v>
      </c>
    </row>
    <row r="124" spans="2:2" x14ac:dyDescent="0.25">
      <c r="B124" t="s">
        <v>60</v>
      </c>
    </row>
    <row r="126" spans="2:2" x14ac:dyDescent="0.25">
      <c r="B126" t="s">
        <v>61</v>
      </c>
    </row>
    <row r="127" spans="2:2" x14ac:dyDescent="0.25">
      <c r="B127" t="s">
        <v>62</v>
      </c>
    </row>
    <row r="128" spans="2:2" x14ac:dyDescent="0.25">
      <c r="B128" t="s">
        <v>63</v>
      </c>
    </row>
    <row r="129" spans="2:2" x14ac:dyDescent="0.25">
      <c r="B129" t="s">
        <v>64</v>
      </c>
    </row>
    <row r="130" spans="2:2" x14ac:dyDescent="0.25">
      <c r="B130" t="s">
        <v>65</v>
      </c>
    </row>
    <row r="131" spans="2:2" x14ac:dyDescent="0.25">
      <c r="B131" t="s">
        <v>66</v>
      </c>
    </row>
    <row r="132" spans="2:2" x14ac:dyDescent="0.25">
      <c r="B132" t="s">
        <v>67</v>
      </c>
    </row>
    <row r="133" spans="2:2" x14ac:dyDescent="0.25">
      <c r="B133" t="s">
        <v>68</v>
      </c>
    </row>
    <row r="134" spans="2:2" x14ac:dyDescent="0.25">
      <c r="B134" t="s">
        <v>69</v>
      </c>
    </row>
    <row r="135" spans="2:2" x14ac:dyDescent="0.25">
      <c r="B135" t="s">
        <v>70</v>
      </c>
    </row>
    <row r="136" spans="2:2" x14ac:dyDescent="0.25">
      <c r="B136" t="s">
        <v>71</v>
      </c>
    </row>
    <row r="138" spans="2:2" x14ac:dyDescent="0.25">
      <c r="B138" t="s">
        <v>72</v>
      </c>
    </row>
    <row r="139" spans="2:2" x14ac:dyDescent="0.25">
      <c r="B139" t="s">
        <v>73</v>
      </c>
    </row>
    <row r="140" spans="2:2" x14ac:dyDescent="0.25">
      <c r="B140" t="s">
        <v>74</v>
      </c>
    </row>
    <row r="141" spans="2:2" x14ac:dyDescent="0.25">
      <c r="B141" t="s">
        <v>75</v>
      </c>
    </row>
    <row r="142" spans="2:2" x14ac:dyDescent="0.25">
      <c r="B142" t="s">
        <v>76</v>
      </c>
    </row>
    <row r="143" spans="2:2" x14ac:dyDescent="0.25">
      <c r="B143" t="s">
        <v>77</v>
      </c>
    </row>
    <row r="144" spans="2:2" x14ac:dyDescent="0.25">
      <c r="B144" t="s">
        <v>78</v>
      </c>
    </row>
    <row r="145" spans="2:2" x14ac:dyDescent="0.25">
      <c r="B145" t="s">
        <v>79</v>
      </c>
    </row>
    <row r="146" spans="2:2" x14ac:dyDescent="0.25">
      <c r="B146" t="s">
        <v>80</v>
      </c>
    </row>
    <row r="147" spans="2:2" x14ac:dyDescent="0.25">
      <c r="B147" t="s">
        <v>81</v>
      </c>
    </row>
    <row r="149" spans="2:2" x14ac:dyDescent="0.25">
      <c r="B149" t="s">
        <v>82</v>
      </c>
    </row>
    <row r="150" spans="2:2" x14ac:dyDescent="0.25">
      <c r="B150" t="s">
        <v>83</v>
      </c>
    </row>
    <row r="151" spans="2:2" x14ac:dyDescent="0.25">
      <c r="B151" t="s">
        <v>84</v>
      </c>
    </row>
    <row r="152" spans="2:2" x14ac:dyDescent="0.25">
      <c r="B152" t="s">
        <v>85</v>
      </c>
    </row>
    <row r="153" spans="2:2" x14ac:dyDescent="0.25">
      <c r="B153" t="s">
        <v>86</v>
      </c>
    </row>
    <row r="154" spans="2:2" x14ac:dyDescent="0.25">
      <c r="B154" t="s">
        <v>87</v>
      </c>
    </row>
    <row r="155" spans="2:2" x14ac:dyDescent="0.25">
      <c r="B155" t="s">
        <v>88</v>
      </c>
    </row>
    <row r="156" spans="2:2" x14ac:dyDescent="0.25">
      <c r="B156" t="s">
        <v>89</v>
      </c>
    </row>
    <row r="157" spans="2:2" x14ac:dyDescent="0.25">
      <c r="B157" t="s">
        <v>90</v>
      </c>
    </row>
    <row r="158" spans="2:2" x14ac:dyDescent="0.25">
      <c r="B158" t="s">
        <v>91</v>
      </c>
    </row>
    <row r="159" spans="2:2" x14ac:dyDescent="0.25">
      <c r="B159" s="7" t="s">
        <v>92</v>
      </c>
    </row>
    <row r="160" spans="2:2" x14ac:dyDescent="0.25">
      <c r="B160" s="7" t="s">
        <v>93</v>
      </c>
    </row>
    <row r="161" spans="2:2" x14ac:dyDescent="0.25">
      <c r="B161" s="7" t="s">
        <v>94</v>
      </c>
    </row>
    <row r="162" spans="2:2" x14ac:dyDescent="0.25">
      <c r="B162" s="7" t="s">
        <v>95</v>
      </c>
    </row>
    <row r="163" spans="2:2" x14ac:dyDescent="0.25">
      <c r="B163" s="7" t="s">
        <v>96</v>
      </c>
    </row>
    <row r="164" spans="2:2" x14ac:dyDescent="0.25">
      <c r="B164" s="7" t="s">
        <v>97</v>
      </c>
    </row>
    <row r="166" spans="2:2" x14ac:dyDescent="0.25">
      <c r="B166" t="s">
        <v>98</v>
      </c>
    </row>
    <row r="167" spans="2:2" x14ac:dyDescent="0.25">
      <c r="B167" t="s">
        <v>99</v>
      </c>
    </row>
    <row r="168" spans="2:2" x14ac:dyDescent="0.25">
      <c r="B168" t="s">
        <v>1090</v>
      </c>
    </row>
    <row r="169" spans="2:2" x14ac:dyDescent="0.25">
      <c r="B169" t="s">
        <v>1091</v>
      </c>
    </row>
    <row r="171" spans="2:2" x14ac:dyDescent="0.25">
      <c r="B171" t="s">
        <v>1092</v>
      </c>
    </row>
    <row r="172" spans="2:2" x14ac:dyDescent="0.25">
      <c r="B172" t="s">
        <v>1093</v>
      </c>
    </row>
    <row r="173" spans="2:2" x14ac:dyDescent="0.25">
      <c r="B173" t="s">
        <v>1094</v>
      </c>
    </row>
    <row r="174" spans="2:2" x14ac:dyDescent="0.25">
      <c r="B174" t="s">
        <v>1095</v>
      </c>
    </row>
    <row r="175" spans="2:2" x14ac:dyDescent="0.25">
      <c r="B175" t="s">
        <v>1096</v>
      </c>
    </row>
    <row r="176" spans="2:2" x14ac:dyDescent="0.25">
      <c r="B176" t="s">
        <v>1097</v>
      </c>
    </row>
    <row r="177" spans="2:2" x14ac:dyDescent="0.25">
      <c r="B177" t="s">
        <v>1098</v>
      </c>
    </row>
    <row r="178" spans="2:2" x14ac:dyDescent="0.25">
      <c r="B178" t="s">
        <v>1099</v>
      </c>
    </row>
    <row r="179" spans="2:2" x14ac:dyDescent="0.25">
      <c r="B179" t="s">
        <v>1100</v>
      </c>
    </row>
    <row r="180" spans="2:2" x14ac:dyDescent="0.25">
      <c r="B180" t="s">
        <v>1101</v>
      </c>
    </row>
    <row r="181" spans="2:2" x14ac:dyDescent="0.25">
      <c r="B181" t="s">
        <v>111</v>
      </c>
    </row>
    <row r="182" spans="2:2" x14ac:dyDescent="0.25">
      <c r="B182" t="s">
        <v>112</v>
      </c>
    </row>
    <row r="183" spans="2:2" x14ac:dyDescent="0.25">
      <c r="B183" t="s">
        <v>113</v>
      </c>
    </row>
    <row r="184" spans="2:2" x14ac:dyDescent="0.25">
      <c r="B184" t="s">
        <v>114</v>
      </c>
    </row>
    <row r="185" spans="2:2" x14ac:dyDescent="0.25">
      <c r="B185" t="s">
        <v>115</v>
      </c>
    </row>
    <row r="187" spans="2:2" x14ac:dyDescent="0.25">
      <c r="B187" t="s">
        <v>116</v>
      </c>
    </row>
    <row r="188" spans="2:2" x14ac:dyDescent="0.25">
      <c r="B188" t="s">
        <v>117</v>
      </c>
    </row>
    <row r="189" spans="2:2" x14ac:dyDescent="0.25">
      <c r="B189" t="s">
        <v>118</v>
      </c>
    </row>
    <row r="190" spans="2:2" x14ac:dyDescent="0.25">
      <c r="B190" t="s">
        <v>119</v>
      </c>
    </row>
    <row r="191" spans="2:2" x14ac:dyDescent="0.25">
      <c r="B191" t="s">
        <v>120</v>
      </c>
    </row>
    <row r="193" spans="2:2" x14ac:dyDescent="0.25">
      <c r="B193" s="5" t="s">
        <v>121</v>
      </c>
    </row>
    <row r="195" spans="2:2" x14ac:dyDescent="0.25">
      <c r="B195" t="s">
        <v>122</v>
      </c>
    </row>
    <row r="196" spans="2:2" x14ac:dyDescent="0.25">
      <c r="B196" t="s">
        <v>123</v>
      </c>
    </row>
    <row r="197" spans="2:2" x14ac:dyDescent="0.25">
      <c r="B197" t="s">
        <v>124</v>
      </c>
    </row>
    <row r="198" spans="2:2" x14ac:dyDescent="0.25">
      <c r="B198" t="s">
        <v>125</v>
      </c>
    </row>
    <row r="199" spans="2:2" x14ac:dyDescent="0.25">
      <c r="B199" t="s">
        <v>126</v>
      </c>
    </row>
    <row r="200" spans="2:2" x14ac:dyDescent="0.25">
      <c r="B200" t="s">
        <v>127</v>
      </c>
    </row>
    <row r="202" spans="2:2" x14ac:dyDescent="0.25">
      <c r="B202" t="s">
        <v>128</v>
      </c>
    </row>
    <row r="203" spans="2:2" x14ac:dyDescent="0.25">
      <c r="B203" t="s">
        <v>129</v>
      </c>
    </row>
    <row r="204" spans="2:2" x14ac:dyDescent="0.25">
      <c r="B204" t="s">
        <v>130</v>
      </c>
    </row>
    <row r="205" spans="2:2" x14ac:dyDescent="0.25">
      <c r="B205" t="s">
        <v>131</v>
      </c>
    </row>
    <row r="206" spans="2:2" x14ac:dyDescent="0.25">
      <c r="B206" t="s">
        <v>132</v>
      </c>
    </row>
    <row r="207" spans="2:2" x14ac:dyDescent="0.25">
      <c r="B207" t="s">
        <v>133</v>
      </c>
    </row>
    <row r="208" spans="2:2" x14ac:dyDescent="0.25">
      <c r="B208" t="s">
        <v>134</v>
      </c>
    </row>
    <row r="209" spans="2:2" x14ac:dyDescent="0.25">
      <c r="B209" t="s">
        <v>135</v>
      </c>
    </row>
    <row r="210" spans="2:2" x14ac:dyDescent="0.25">
      <c r="B210" t="s">
        <v>136</v>
      </c>
    </row>
    <row r="211" spans="2:2" x14ac:dyDescent="0.25">
      <c r="B211" t="s">
        <v>137</v>
      </c>
    </row>
    <row r="212" spans="2:2" x14ac:dyDescent="0.25">
      <c r="B212" t="s">
        <v>138</v>
      </c>
    </row>
    <row r="213" spans="2:2" x14ac:dyDescent="0.25">
      <c r="B213" t="s">
        <v>139</v>
      </c>
    </row>
    <row r="215" spans="2:2" x14ac:dyDescent="0.25">
      <c r="B215" t="s">
        <v>140</v>
      </c>
    </row>
    <row r="216" spans="2:2" x14ac:dyDescent="0.25">
      <c r="B216" t="s">
        <v>141</v>
      </c>
    </row>
    <row r="217" spans="2:2" x14ac:dyDescent="0.25">
      <c r="B217" t="s">
        <v>142</v>
      </c>
    </row>
    <row r="218" spans="2:2" x14ac:dyDescent="0.25">
      <c r="B218" t="s">
        <v>143</v>
      </c>
    </row>
    <row r="219" spans="2:2" x14ac:dyDescent="0.25">
      <c r="B219" t="s">
        <v>144</v>
      </c>
    </row>
    <row r="220" spans="2:2" x14ac:dyDescent="0.25">
      <c r="B220" t="s">
        <v>145</v>
      </c>
    </row>
    <row r="221" spans="2:2" x14ac:dyDescent="0.25">
      <c r="B221" t="s">
        <v>146</v>
      </c>
    </row>
    <row r="222" spans="2:2" x14ac:dyDescent="0.25">
      <c r="B222" t="s">
        <v>147</v>
      </c>
    </row>
    <row r="223" spans="2:2" x14ac:dyDescent="0.25">
      <c r="B223" t="s">
        <v>148</v>
      </c>
    </row>
    <row r="224" spans="2:2" x14ac:dyDescent="0.25">
      <c r="B224" t="s">
        <v>149</v>
      </c>
    </row>
    <row r="225" spans="2:2" x14ac:dyDescent="0.25">
      <c r="B225" t="s">
        <v>150</v>
      </c>
    </row>
    <row r="226" spans="2:2" x14ac:dyDescent="0.25">
      <c r="B226" t="s">
        <v>151</v>
      </c>
    </row>
    <row r="227" spans="2:2" x14ac:dyDescent="0.25">
      <c r="B227" t="s">
        <v>152</v>
      </c>
    </row>
    <row r="229" spans="2:2" x14ac:dyDescent="0.25">
      <c r="B229" t="s">
        <v>153</v>
      </c>
    </row>
    <row r="230" spans="2:2" x14ac:dyDescent="0.25">
      <c r="B230" t="s">
        <v>154</v>
      </c>
    </row>
    <row r="231" spans="2:2" x14ac:dyDescent="0.25">
      <c r="B231" t="s">
        <v>155</v>
      </c>
    </row>
    <row r="232" spans="2:2" x14ac:dyDescent="0.25">
      <c r="B232" t="s">
        <v>156</v>
      </c>
    </row>
    <row r="233" spans="2:2" x14ac:dyDescent="0.25">
      <c r="B233" t="s">
        <v>157</v>
      </c>
    </row>
    <row r="234" spans="2:2" x14ac:dyDescent="0.25">
      <c r="B234" t="s">
        <v>158</v>
      </c>
    </row>
    <row r="235" spans="2:2" x14ac:dyDescent="0.25">
      <c r="B235" t="s">
        <v>159</v>
      </c>
    </row>
    <row r="236" spans="2:2" x14ac:dyDescent="0.25">
      <c r="B236" t="s">
        <v>160</v>
      </c>
    </row>
    <row r="237" spans="2:2" x14ac:dyDescent="0.25">
      <c r="B237" t="s">
        <v>161</v>
      </c>
    </row>
    <row r="238" spans="2:2" x14ac:dyDescent="0.25">
      <c r="B238" t="s">
        <v>162</v>
      </c>
    </row>
    <row r="239" spans="2:2" x14ac:dyDescent="0.25">
      <c r="B239" t="s">
        <v>163</v>
      </c>
    </row>
    <row r="240" spans="2:2" x14ac:dyDescent="0.25">
      <c r="B240" t="s">
        <v>164</v>
      </c>
    </row>
    <row r="242" spans="2:2" x14ac:dyDescent="0.25">
      <c r="B242" t="s">
        <v>165</v>
      </c>
    </row>
    <row r="243" spans="2:2" x14ac:dyDescent="0.25">
      <c r="B243" t="s">
        <v>166</v>
      </c>
    </row>
    <row r="244" spans="2:2" x14ac:dyDescent="0.25">
      <c r="B244" t="s">
        <v>167</v>
      </c>
    </row>
    <row r="245" spans="2:2" x14ac:dyDescent="0.25">
      <c r="B245" t="s">
        <v>168</v>
      </c>
    </row>
    <row r="246" spans="2:2" x14ac:dyDescent="0.25">
      <c r="B246" t="s">
        <v>169</v>
      </c>
    </row>
    <row r="248" spans="2:2" x14ac:dyDescent="0.25">
      <c r="B248" s="5" t="s">
        <v>170</v>
      </c>
    </row>
    <row r="250" spans="2:2" x14ac:dyDescent="0.25">
      <c r="B250" t="s">
        <v>171</v>
      </c>
    </row>
    <row r="252" spans="2:2" x14ac:dyDescent="0.25">
      <c r="B252" t="s">
        <v>172</v>
      </c>
    </row>
    <row r="253" spans="2:2" x14ac:dyDescent="0.25">
      <c r="B253" t="s">
        <v>173</v>
      </c>
    </row>
    <row r="254" spans="2:2" x14ac:dyDescent="0.25">
      <c r="B254" t="s">
        <v>174</v>
      </c>
    </row>
    <row r="255" spans="2:2" x14ac:dyDescent="0.25">
      <c r="B255" t="s">
        <v>175</v>
      </c>
    </row>
    <row r="256" spans="2:2" x14ac:dyDescent="0.25">
      <c r="B256" t="s">
        <v>176</v>
      </c>
    </row>
    <row r="257" spans="2:2" x14ac:dyDescent="0.25">
      <c r="B257" t="s">
        <v>177</v>
      </c>
    </row>
    <row r="258" spans="2:2" x14ac:dyDescent="0.25">
      <c r="B258" t="s">
        <v>178</v>
      </c>
    </row>
    <row r="259" spans="2:2" x14ac:dyDescent="0.25">
      <c r="B259" t="s">
        <v>179</v>
      </c>
    </row>
    <row r="260" spans="2:2" x14ac:dyDescent="0.25">
      <c r="B260" t="s">
        <v>180</v>
      </c>
    </row>
    <row r="261" spans="2:2" x14ac:dyDescent="0.25">
      <c r="B261" t="s">
        <v>181</v>
      </c>
    </row>
    <row r="263" spans="2:2" x14ac:dyDescent="0.25">
      <c r="B263" t="s">
        <v>182</v>
      </c>
    </row>
    <row r="264" spans="2:2" x14ac:dyDescent="0.25">
      <c r="B264" t="s">
        <v>183</v>
      </c>
    </row>
    <row r="266" spans="2:2" x14ac:dyDescent="0.25">
      <c r="B266" t="s">
        <v>184</v>
      </c>
    </row>
    <row r="267" spans="2:2" x14ac:dyDescent="0.25">
      <c r="B267" t="s">
        <v>185</v>
      </c>
    </row>
    <row r="268" spans="2:2" x14ac:dyDescent="0.25">
      <c r="B268" t="s">
        <v>186</v>
      </c>
    </row>
    <row r="269" spans="2:2" x14ac:dyDescent="0.25">
      <c r="B269" t="s">
        <v>187</v>
      </c>
    </row>
    <row r="271" spans="2:2" x14ac:dyDescent="0.25">
      <c r="B271" t="s">
        <v>188</v>
      </c>
    </row>
    <row r="272" spans="2:2" x14ac:dyDescent="0.25">
      <c r="B272" t="s">
        <v>189</v>
      </c>
    </row>
    <row r="273" spans="2:2" x14ac:dyDescent="0.25">
      <c r="B273" t="s">
        <v>190</v>
      </c>
    </row>
    <row r="274" spans="2:2" x14ac:dyDescent="0.25">
      <c r="B274" t="s">
        <v>191</v>
      </c>
    </row>
    <row r="276" spans="2:2" x14ac:dyDescent="0.25">
      <c r="B276" t="s">
        <v>192</v>
      </c>
    </row>
    <row r="277" spans="2:2" x14ac:dyDescent="0.25">
      <c r="B277" t="s">
        <v>193</v>
      </c>
    </row>
    <row r="278" spans="2:2" x14ac:dyDescent="0.25">
      <c r="B278" t="s">
        <v>194</v>
      </c>
    </row>
    <row r="279" spans="2:2" x14ac:dyDescent="0.25">
      <c r="B279" t="s">
        <v>195</v>
      </c>
    </row>
    <row r="280" spans="2:2" x14ac:dyDescent="0.25">
      <c r="B280" t="s">
        <v>196</v>
      </c>
    </row>
    <row r="281" spans="2:2" x14ac:dyDescent="0.25">
      <c r="B281" t="s">
        <v>197</v>
      </c>
    </row>
    <row r="283" spans="2:2" x14ac:dyDescent="0.25">
      <c r="B283" t="s">
        <v>198</v>
      </c>
    </row>
    <row r="284" spans="2:2" x14ac:dyDescent="0.25">
      <c r="B284" t="s">
        <v>199</v>
      </c>
    </row>
    <row r="285" spans="2:2" x14ac:dyDescent="0.25">
      <c r="B285" t="s">
        <v>200</v>
      </c>
    </row>
    <row r="286" spans="2:2" x14ac:dyDescent="0.25">
      <c r="B286" t="s">
        <v>201</v>
      </c>
    </row>
    <row r="287" spans="2:2" x14ac:dyDescent="0.25">
      <c r="B287" t="s">
        <v>202</v>
      </c>
    </row>
    <row r="288" spans="2:2" x14ac:dyDescent="0.25">
      <c r="B288" t="s">
        <v>203</v>
      </c>
    </row>
    <row r="289" spans="2:2" x14ac:dyDescent="0.25">
      <c r="B289" t="s">
        <v>204</v>
      </c>
    </row>
    <row r="290" spans="2:2" x14ac:dyDescent="0.25">
      <c r="B290" t="s">
        <v>801</v>
      </c>
    </row>
    <row r="292" spans="2:2" x14ac:dyDescent="0.25">
      <c r="B292" s="5" t="s">
        <v>802</v>
      </c>
    </row>
    <row r="294" spans="2:2" x14ac:dyDescent="0.25">
      <c r="B294" t="s">
        <v>803</v>
      </c>
    </row>
    <row r="296" spans="2:2" x14ac:dyDescent="0.25">
      <c r="B296" t="s">
        <v>804</v>
      </c>
    </row>
    <row r="297" spans="2:2" x14ac:dyDescent="0.25">
      <c r="B297" t="s">
        <v>805</v>
      </c>
    </row>
    <row r="298" spans="2:2" x14ac:dyDescent="0.25">
      <c r="B298" t="s">
        <v>806</v>
      </c>
    </row>
    <row r="299" spans="2:2" x14ac:dyDescent="0.25">
      <c r="B299" t="s">
        <v>807</v>
      </c>
    </row>
    <row r="300" spans="2:2" x14ac:dyDescent="0.25">
      <c r="B300" t="s">
        <v>808</v>
      </c>
    </row>
    <row r="301" spans="2:2" x14ac:dyDescent="0.25">
      <c r="B301" t="s">
        <v>809</v>
      </c>
    </row>
    <row r="302" spans="2:2" x14ac:dyDescent="0.25">
      <c r="B302" t="s">
        <v>810</v>
      </c>
    </row>
    <row r="303" spans="2:2" x14ac:dyDescent="0.25">
      <c r="B303" t="s">
        <v>811</v>
      </c>
    </row>
    <row r="304" spans="2:2" x14ac:dyDescent="0.25">
      <c r="B304" t="s">
        <v>812</v>
      </c>
    </row>
    <row r="305" spans="2:2" x14ac:dyDescent="0.25">
      <c r="B305" t="s">
        <v>813</v>
      </c>
    </row>
    <row r="306" spans="2:2" x14ac:dyDescent="0.25">
      <c r="B306" t="s">
        <v>814</v>
      </c>
    </row>
    <row r="307" spans="2:2" x14ac:dyDescent="0.25">
      <c r="B307" t="s">
        <v>815</v>
      </c>
    </row>
    <row r="308" spans="2:2" x14ac:dyDescent="0.25">
      <c r="B308" t="s">
        <v>816</v>
      </c>
    </row>
    <row r="309" spans="2:2" x14ac:dyDescent="0.25">
      <c r="B309" t="s">
        <v>817</v>
      </c>
    </row>
    <row r="310" spans="2:2" x14ac:dyDescent="0.25">
      <c r="B310" t="s">
        <v>818</v>
      </c>
    </row>
    <row r="311" spans="2:2" x14ac:dyDescent="0.25">
      <c r="B311" t="s">
        <v>819</v>
      </c>
    </row>
    <row r="312" spans="2:2" x14ac:dyDescent="0.25">
      <c r="B312" t="s">
        <v>820</v>
      </c>
    </row>
    <row r="313" spans="2:2" x14ac:dyDescent="0.25">
      <c r="B313" t="s">
        <v>821</v>
      </c>
    </row>
    <row r="314" spans="2:2" x14ac:dyDescent="0.25">
      <c r="B314" t="s">
        <v>822</v>
      </c>
    </row>
    <row r="315" spans="2:2" x14ac:dyDescent="0.25">
      <c r="B315" t="s">
        <v>823</v>
      </c>
    </row>
    <row r="316" spans="2:2" x14ac:dyDescent="0.25">
      <c r="B316" t="s">
        <v>824</v>
      </c>
    </row>
    <row r="317" spans="2:2" x14ac:dyDescent="0.25">
      <c r="B317" t="s">
        <v>825</v>
      </c>
    </row>
    <row r="318" spans="2:2" x14ac:dyDescent="0.25">
      <c r="B318" t="s">
        <v>826</v>
      </c>
    </row>
    <row r="320" spans="2:2" x14ac:dyDescent="0.25">
      <c r="B320" t="s">
        <v>226</v>
      </c>
    </row>
    <row r="321" spans="2:2" x14ac:dyDescent="0.25">
      <c r="B321" t="s">
        <v>227</v>
      </c>
    </row>
    <row r="322" spans="2:2" x14ac:dyDescent="0.25">
      <c r="B322" t="s">
        <v>228</v>
      </c>
    </row>
    <row r="323" spans="2:2" x14ac:dyDescent="0.25">
      <c r="B323" t="s">
        <v>229</v>
      </c>
    </row>
    <row r="325" spans="2:2" x14ac:dyDescent="0.25">
      <c r="B325" t="s">
        <v>205</v>
      </c>
    </row>
    <row r="326" spans="2:2" x14ac:dyDescent="0.25">
      <c r="B326" t="s">
        <v>230</v>
      </c>
    </row>
    <row r="327" spans="2:2" x14ac:dyDescent="0.25">
      <c r="B327" t="s">
        <v>206</v>
      </c>
    </row>
    <row r="329" spans="2:2" x14ac:dyDescent="0.25">
      <c r="B329" t="s">
        <v>231</v>
      </c>
    </row>
    <row r="330" spans="2:2" x14ac:dyDescent="0.25">
      <c r="B330" t="s">
        <v>232</v>
      </c>
    </row>
    <row r="331" spans="2:2" x14ac:dyDescent="0.25">
      <c r="B331" t="s">
        <v>233</v>
      </c>
    </row>
    <row r="332" spans="2:2" x14ac:dyDescent="0.25">
      <c r="B332" t="s">
        <v>234</v>
      </c>
    </row>
    <row r="333" spans="2:2" x14ac:dyDescent="0.25">
      <c r="B333" t="s">
        <v>235</v>
      </c>
    </row>
    <row r="334" spans="2:2" x14ac:dyDescent="0.25">
      <c r="B334" t="s">
        <v>236</v>
      </c>
    </row>
    <row r="335" spans="2:2" x14ac:dyDescent="0.25">
      <c r="B335" t="s">
        <v>237</v>
      </c>
    </row>
    <row r="336" spans="2:2" x14ac:dyDescent="0.25">
      <c r="B336" t="s">
        <v>212</v>
      </c>
    </row>
    <row r="338" spans="2:2" x14ac:dyDescent="0.25">
      <c r="B338" s="70" t="s">
        <v>1110</v>
      </c>
    </row>
    <row r="340" spans="2:2" x14ac:dyDescent="0.25">
      <c r="B340" t="s">
        <v>210</v>
      </c>
    </row>
    <row r="341" spans="2:2" x14ac:dyDescent="0.25">
      <c r="B341" t="s">
        <v>211</v>
      </c>
    </row>
    <row r="342" spans="2:2" x14ac:dyDescent="0.25">
      <c r="B342" s="70" t="s">
        <v>1103</v>
      </c>
    </row>
    <row r="343" spans="2:2" x14ac:dyDescent="0.25">
      <c r="B343" s="70" t="s">
        <v>1127</v>
      </c>
    </row>
    <row r="344" spans="2:2" x14ac:dyDescent="0.25">
      <c r="B344" s="70" t="s">
        <v>1105</v>
      </c>
    </row>
    <row r="345" spans="2:2" x14ac:dyDescent="0.25">
      <c r="B345" s="70" t="s">
        <v>1126</v>
      </c>
    </row>
    <row r="347" spans="2:2" x14ac:dyDescent="0.25">
      <c r="B347" s="5" t="s">
        <v>1106</v>
      </c>
    </row>
    <row r="348" spans="2:2" x14ac:dyDescent="0.25">
      <c r="B348" s="70" t="s">
        <v>1104</v>
      </c>
    </row>
    <row r="349" spans="2:2" x14ac:dyDescent="0.25">
      <c r="B349" s="70" t="s">
        <v>1118</v>
      </c>
    </row>
    <row r="350" spans="2:2" x14ac:dyDescent="0.25">
      <c r="B350" s="70" t="s">
        <v>1114</v>
      </c>
    </row>
    <row r="351" spans="2:2" x14ac:dyDescent="0.25">
      <c r="B351" s="70" t="s">
        <v>1115</v>
      </c>
    </row>
    <row r="352" spans="2:2" x14ac:dyDescent="0.25">
      <c r="B352" s="70" t="s">
        <v>1116</v>
      </c>
    </row>
    <row r="353" spans="2:2" x14ac:dyDescent="0.25">
      <c r="B353" s="70" t="s">
        <v>1117</v>
      </c>
    </row>
    <row r="355" spans="2:2" x14ac:dyDescent="0.25">
      <c r="B355" s="5" t="s">
        <v>1121</v>
      </c>
    </row>
    <row r="356" spans="2:2" x14ac:dyDescent="0.25">
      <c r="B356" s="70" t="s">
        <v>1120</v>
      </c>
    </row>
    <row r="357" spans="2:2" x14ac:dyDescent="0.25">
      <c r="B357" s="70" t="s">
        <v>208</v>
      </c>
    </row>
    <row r="358" spans="2:2" x14ac:dyDescent="0.25">
      <c r="B358" s="70" t="s">
        <v>1119</v>
      </c>
    </row>
    <row r="360" spans="2:2" x14ac:dyDescent="0.25">
      <c r="B360" s="70" t="s">
        <v>1111</v>
      </c>
    </row>
    <row r="361" spans="2:2" x14ac:dyDescent="0.25">
      <c r="B361" s="70" t="s">
        <v>1112</v>
      </c>
    </row>
    <row r="362" spans="2:2" x14ac:dyDescent="0.25">
      <c r="B362" s="70" t="s">
        <v>1102</v>
      </c>
    </row>
    <row r="363" spans="2:2" x14ac:dyDescent="0.25">
      <c r="B363" s="70" t="s">
        <v>1122</v>
      </c>
    </row>
    <row r="365" spans="2:2" x14ac:dyDescent="0.25">
      <c r="B365" s="70" t="s">
        <v>1107</v>
      </c>
    </row>
    <row r="366" spans="2:2" x14ac:dyDescent="0.25">
      <c r="B366" s="70" t="s">
        <v>1109</v>
      </c>
    </row>
    <row r="367" spans="2:2" x14ac:dyDescent="0.25">
      <c r="B367" s="70" t="s">
        <v>1108</v>
      </c>
    </row>
    <row r="368" spans="2:2" x14ac:dyDescent="0.25">
      <c r="B368" s="70"/>
    </row>
    <row r="369" spans="2:2" x14ac:dyDescent="0.25">
      <c r="B369" s="5" t="s">
        <v>1113</v>
      </c>
    </row>
    <row r="370" spans="2:2" x14ac:dyDescent="0.25">
      <c r="B370" s="70" t="s">
        <v>1148</v>
      </c>
    </row>
    <row r="371" spans="2:2" x14ac:dyDescent="0.25">
      <c r="B371" s="89" t="s">
        <v>1147</v>
      </c>
    </row>
    <row r="372" spans="2:2" ht="13.8" x14ac:dyDescent="0.3">
      <c r="B372" s="89" t="s">
        <v>1149</v>
      </c>
    </row>
    <row r="373" spans="2:2" ht="13.8" x14ac:dyDescent="0.3">
      <c r="B373" s="89" t="s">
        <v>1150</v>
      </c>
    </row>
    <row r="374" spans="2:2" x14ac:dyDescent="0.25">
      <c r="B374" s="89" t="s">
        <v>1201</v>
      </c>
    </row>
    <row r="375" spans="2:2" x14ac:dyDescent="0.25">
      <c r="B375" s="89" t="s">
        <v>1202</v>
      </c>
    </row>
    <row r="376" spans="2:2" x14ac:dyDescent="0.25">
      <c r="B376" s="89" t="s">
        <v>1203</v>
      </c>
    </row>
    <row r="377" spans="2:2" x14ac:dyDescent="0.25">
      <c r="B377" s="89"/>
    </row>
    <row r="378" spans="2:2" x14ac:dyDescent="0.25">
      <c r="B378" s="89" t="s">
        <v>1124</v>
      </c>
    </row>
    <row r="379" spans="2:2" x14ac:dyDescent="0.25">
      <c r="B379" s="89" t="s">
        <v>1123</v>
      </c>
    </row>
    <row r="380" spans="2:2" x14ac:dyDescent="0.25">
      <c r="B380" s="89" t="s">
        <v>1125</v>
      </c>
    </row>
    <row r="381" spans="2:2" x14ac:dyDescent="0.25">
      <c r="B381" s="89"/>
    </row>
    <row r="382" spans="2:2" x14ac:dyDescent="0.25">
      <c r="B382" s="89" t="s">
        <v>1204</v>
      </c>
    </row>
    <row r="383" spans="2:2" x14ac:dyDescent="0.25">
      <c r="B383" s="89" t="s">
        <v>1205</v>
      </c>
    </row>
    <row r="384" spans="2:2" x14ac:dyDescent="0.25">
      <c r="B384" s="89" t="s">
        <v>1206</v>
      </c>
    </row>
    <row r="385" spans="2:2" x14ac:dyDescent="0.25">
      <c r="B385" s="89" t="s">
        <v>1207</v>
      </c>
    </row>
    <row r="386" spans="2:2" x14ac:dyDescent="0.25">
      <c r="B386" s="89" t="s">
        <v>1208</v>
      </c>
    </row>
    <row r="387" spans="2:2" x14ac:dyDescent="0.25">
      <c r="B387" s="89" t="s">
        <v>1209</v>
      </c>
    </row>
    <row r="388" spans="2:2" x14ac:dyDescent="0.25">
      <c r="B388" s="89" t="s">
        <v>1210</v>
      </c>
    </row>
    <row r="389" spans="2:2" x14ac:dyDescent="0.25">
      <c r="B389" s="89" t="s">
        <v>1211</v>
      </c>
    </row>
    <row r="390" spans="2:2" x14ac:dyDescent="0.25">
      <c r="B390" s="89" t="s">
        <v>1212</v>
      </c>
    </row>
    <row r="391" spans="2:2" x14ac:dyDescent="0.25">
      <c r="B391" s="89" t="s">
        <v>1213</v>
      </c>
    </row>
    <row r="392" spans="2:2" x14ac:dyDescent="0.25">
      <c r="B392" s="89" t="s">
        <v>1214</v>
      </c>
    </row>
    <row r="393" spans="2:2" x14ac:dyDescent="0.25">
      <c r="B393" s="89" t="s">
        <v>1215</v>
      </c>
    </row>
    <row r="394" spans="2:2" x14ac:dyDescent="0.25">
      <c r="B394" s="89" t="s">
        <v>1216</v>
      </c>
    </row>
    <row r="395" spans="2:2" x14ac:dyDescent="0.25">
      <c r="B395" s="89" t="s">
        <v>1217</v>
      </c>
    </row>
    <row r="396" spans="2:2" x14ac:dyDescent="0.25">
      <c r="B396" s="89" t="s">
        <v>1218</v>
      </c>
    </row>
    <row r="397" spans="2:2" x14ac:dyDescent="0.25">
      <c r="B397" s="89" t="s">
        <v>1219</v>
      </c>
    </row>
    <row r="398" spans="2:2" x14ac:dyDescent="0.25">
      <c r="B398" s="89"/>
    </row>
    <row r="399" spans="2:2" x14ac:dyDescent="0.25">
      <c r="B399" t="s">
        <v>238</v>
      </c>
    </row>
    <row r="400" spans="2:2" x14ac:dyDescent="0.25">
      <c r="B400" t="s">
        <v>239</v>
      </c>
    </row>
    <row r="402" spans="2:2" x14ac:dyDescent="0.25">
      <c r="B402" t="s">
        <v>240</v>
      </c>
    </row>
    <row r="403" spans="2:2" x14ac:dyDescent="0.25">
      <c r="B403" t="s">
        <v>241</v>
      </c>
    </row>
    <row r="404" spans="2:2" x14ac:dyDescent="0.25">
      <c r="B404" t="s">
        <v>242</v>
      </c>
    </row>
    <row r="405" spans="2:2" x14ac:dyDescent="0.25">
      <c r="B405" t="s">
        <v>243</v>
      </c>
    </row>
    <row r="406" spans="2:2" x14ac:dyDescent="0.25">
      <c r="B406" t="s">
        <v>244</v>
      </c>
    </row>
    <row r="407" spans="2:2" x14ac:dyDescent="0.25">
      <c r="B407" t="s">
        <v>245</v>
      </c>
    </row>
    <row r="408" spans="2:2" x14ac:dyDescent="0.25">
      <c r="B408" t="s">
        <v>246</v>
      </c>
    </row>
    <row r="409" spans="2:2" x14ac:dyDescent="0.25">
      <c r="B409" t="s">
        <v>247</v>
      </c>
    </row>
    <row r="410" spans="2:2" x14ac:dyDescent="0.25">
      <c r="B410" t="s">
        <v>248</v>
      </c>
    </row>
    <row r="411" spans="2:2" x14ac:dyDescent="0.25">
      <c r="B411" t="s">
        <v>249</v>
      </c>
    </row>
    <row r="412" spans="2:2" x14ac:dyDescent="0.25">
      <c r="B412" t="s">
        <v>250</v>
      </c>
    </row>
    <row r="413" spans="2:2" x14ac:dyDescent="0.25">
      <c r="B413" t="s">
        <v>251</v>
      </c>
    </row>
    <row r="414" spans="2:2" x14ac:dyDescent="0.25">
      <c r="B414" t="s">
        <v>252</v>
      </c>
    </row>
    <row r="415" spans="2:2" x14ac:dyDescent="0.25">
      <c r="B415" t="s">
        <v>253</v>
      </c>
    </row>
    <row r="416" spans="2:2" x14ac:dyDescent="0.25">
      <c r="B416" t="s">
        <v>254</v>
      </c>
    </row>
    <row r="417" spans="2:2" x14ac:dyDescent="0.25">
      <c r="B417" t="s">
        <v>255</v>
      </c>
    </row>
    <row r="418" spans="2:2" x14ac:dyDescent="0.25">
      <c r="B418" t="s">
        <v>256</v>
      </c>
    </row>
    <row r="419" spans="2:2" x14ac:dyDescent="0.25">
      <c r="B419" t="s">
        <v>257</v>
      </c>
    </row>
    <row r="421" spans="2:2" x14ac:dyDescent="0.25">
      <c r="B421" t="s">
        <v>258</v>
      </c>
    </row>
    <row r="422" spans="2:2" x14ac:dyDescent="0.25">
      <c r="B422" t="s">
        <v>259</v>
      </c>
    </row>
    <row r="423" spans="2:2" x14ac:dyDescent="0.25">
      <c r="B423" t="s">
        <v>260</v>
      </c>
    </row>
    <row r="424" spans="2:2" x14ac:dyDescent="0.25">
      <c r="B424" t="s">
        <v>261</v>
      </c>
    </row>
    <row r="425" spans="2:2" x14ac:dyDescent="0.25">
      <c r="B425" t="s">
        <v>262</v>
      </c>
    </row>
    <row r="426" spans="2:2" x14ac:dyDescent="0.25">
      <c r="B426" t="s">
        <v>263</v>
      </c>
    </row>
    <row r="427" spans="2:2" x14ac:dyDescent="0.25">
      <c r="B427" t="s">
        <v>264</v>
      </c>
    </row>
    <row r="428" spans="2:2" x14ac:dyDescent="0.25">
      <c r="B428" t="s">
        <v>265</v>
      </c>
    </row>
    <row r="429" spans="2:2" x14ac:dyDescent="0.25">
      <c r="B429" t="s">
        <v>266</v>
      </c>
    </row>
    <row r="430" spans="2:2" x14ac:dyDescent="0.25">
      <c r="B430" t="s">
        <v>267</v>
      </c>
    </row>
    <row r="431" spans="2:2" x14ac:dyDescent="0.25">
      <c r="B431" t="s">
        <v>268</v>
      </c>
    </row>
    <row r="432" spans="2:2" x14ac:dyDescent="0.25">
      <c r="B432" t="s">
        <v>269</v>
      </c>
    </row>
    <row r="434" spans="2:2" x14ac:dyDescent="0.25">
      <c r="B434" t="s">
        <v>270</v>
      </c>
    </row>
    <row r="435" spans="2:2" x14ac:dyDescent="0.25">
      <c r="B435" t="s">
        <v>271</v>
      </c>
    </row>
    <row r="437" spans="2:2" x14ac:dyDescent="0.25">
      <c r="B437" s="7" t="s">
        <v>272</v>
      </c>
    </row>
    <row r="438" spans="2:2" x14ac:dyDescent="0.25">
      <c r="B438" s="7"/>
    </row>
    <row r="439" spans="2:2" x14ac:dyDescent="0.25">
      <c r="B439" s="7" t="s">
        <v>273</v>
      </c>
    </row>
    <row r="440" spans="2:2" x14ac:dyDescent="0.25">
      <c r="B440" s="7" t="s">
        <v>274</v>
      </c>
    </row>
    <row r="441" spans="2:2" x14ac:dyDescent="0.25">
      <c r="B441" s="7" t="s">
        <v>275</v>
      </c>
    </row>
    <row r="442" spans="2:2" x14ac:dyDescent="0.25">
      <c r="B442" s="7" t="s">
        <v>276</v>
      </c>
    </row>
    <row r="443" spans="2:2" x14ac:dyDescent="0.25">
      <c r="B443" s="7" t="s">
        <v>277</v>
      </c>
    </row>
    <row r="444" spans="2:2" x14ac:dyDescent="0.25">
      <c r="B444" s="7" t="s">
        <v>278</v>
      </c>
    </row>
    <row r="445" spans="2:2" x14ac:dyDescent="0.25">
      <c r="B445" s="7" t="s">
        <v>279</v>
      </c>
    </row>
    <row r="447" spans="2:2" x14ac:dyDescent="0.25">
      <c r="B447" s="5" t="s">
        <v>566</v>
      </c>
    </row>
    <row r="449" spans="2:2" x14ac:dyDescent="0.25">
      <c r="B449" t="s">
        <v>567</v>
      </c>
    </row>
    <row r="450" spans="2:2" x14ac:dyDescent="0.25">
      <c r="B450" t="s">
        <v>280</v>
      </c>
    </row>
    <row r="451" spans="2:2" x14ac:dyDescent="0.25">
      <c r="B451" t="s">
        <v>281</v>
      </c>
    </row>
    <row r="452" spans="2:2" x14ac:dyDescent="0.25">
      <c r="B452" t="s">
        <v>282</v>
      </c>
    </row>
    <row r="453" spans="2:2" x14ac:dyDescent="0.25">
      <c r="B453" t="s">
        <v>283</v>
      </c>
    </row>
    <row r="454" spans="2:2" x14ac:dyDescent="0.25">
      <c r="B454" t="s">
        <v>284</v>
      </c>
    </row>
    <row r="455" spans="2:2" x14ac:dyDescent="0.25">
      <c r="B455" t="s">
        <v>285</v>
      </c>
    </row>
    <row r="456" spans="2:2" x14ac:dyDescent="0.25">
      <c r="B456" t="s">
        <v>286</v>
      </c>
    </row>
    <row r="457" spans="2:2" x14ac:dyDescent="0.25">
      <c r="B457" t="s">
        <v>287</v>
      </c>
    </row>
    <row r="458" spans="2:2" x14ac:dyDescent="0.25">
      <c r="B458" t="s">
        <v>288</v>
      </c>
    </row>
    <row r="459" spans="2:2" x14ac:dyDescent="0.25">
      <c r="B459" t="s">
        <v>289</v>
      </c>
    </row>
    <row r="461" spans="2:2" x14ac:dyDescent="0.25">
      <c r="B461" t="s">
        <v>290</v>
      </c>
    </row>
    <row r="463" spans="2:2" x14ac:dyDescent="0.25">
      <c r="B463" s="7" t="s">
        <v>291</v>
      </c>
    </row>
    <row r="464" spans="2:2" x14ac:dyDescent="0.25">
      <c r="B464" s="7" t="s">
        <v>292</v>
      </c>
    </row>
    <row r="466" spans="2:2" x14ac:dyDescent="0.25">
      <c r="B466" t="s">
        <v>293</v>
      </c>
    </row>
    <row r="468" spans="2:2" x14ac:dyDescent="0.25">
      <c r="B468" t="s">
        <v>294</v>
      </c>
    </row>
    <row r="469" spans="2:2" x14ac:dyDescent="0.25">
      <c r="B469" t="s">
        <v>295</v>
      </c>
    </row>
    <row r="471" spans="2:2" x14ac:dyDescent="0.25">
      <c r="B471" s="5" t="s">
        <v>296</v>
      </c>
    </row>
    <row r="473" spans="2:2" x14ac:dyDescent="0.25">
      <c r="B473" t="s">
        <v>297</v>
      </c>
    </row>
    <row r="474" spans="2:2" x14ac:dyDescent="0.25">
      <c r="B474" t="s">
        <v>298</v>
      </c>
    </row>
    <row r="475" spans="2:2" x14ac:dyDescent="0.25">
      <c r="B475" t="s">
        <v>299</v>
      </c>
    </row>
    <row r="476" spans="2:2" x14ac:dyDescent="0.25">
      <c r="B476" t="s">
        <v>300</v>
      </c>
    </row>
    <row r="477" spans="2:2" x14ac:dyDescent="0.25">
      <c r="B477" t="s">
        <v>301</v>
      </c>
    </row>
    <row r="478" spans="2:2" x14ac:dyDescent="0.25">
      <c r="B478" t="s">
        <v>681</v>
      </c>
    </row>
    <row r="479" spans="2:2" x14ac:dyDescent="0.25">
      <c r="B479" t="s">
        <v>682</v>
      </c>
    </row>
    <row r="480" spans="2:2" x14ac:dyDescent="0.25">
      <c r="B480" t="s">
        <v>683</v>
      </c>
    </row>
    <row r="481" spans="2:2" x14ac:dyDescent="0.25">
      <c r="B481" t="s">
        <v>684</v>
      </c>
    </row>
    <row r="482" spans="2:2" x14ac:dyDescent="0.25">
      <c r="B482" t="s">
        <v>685</v>
      </c>
    </row>
    <row r="484" spans="2:2" x14ac:dyDescent="0.25">
      <c r="B484" t="s">
        <v>686</v>
      </c>
    </row>
    <row r="485" spans="2:2" x14ac:dyDescent="0.25">
      <c r="B485" t="s">
        <v>687</v>
      </c>
    </row>
    <row r="486" spans="2:2" x14ac:dyDescent="0.25">
      <c r="B486" t="s">
        <v>688</v>
      </c>
    </row>
    <row r="487" spans="2:2" x14ac:dyDescent="0.25">
      <c r="B487" t="s">
        <v>689</v>
      </c>
    </row>
    <row r="488" spans="2:2" x14ac:dyDescent="0.25">
      <c r="B488" t="s">
        <v>690</v>
      </c>
    </row>
    <row r="489" spans="2:2" x14ac:dyDescent="0.25">
      <c r="B489" t="s">
        <v>691</v>
      </c>
    </row>
    <row r="490" spans="2:2" x14ac:dyDescent="0.25">
      <c r="B490" t="s">
        <v>692</v>
      </c>
    </row>
    <row r="492" spans="2:2" x14ac:dyDescent="0.25">
      <c r="B492" t="s">
        <v>693</v>
      </c>
    </row>
    <row r="493" spans="2:2" x14ac:dyDescent="0.25">
      <c r="B493" t="s">
        <v>694</v>
      </c>
    </row>
    <row r="494" spans="2:2" x14ac:dyDescent="0.25">
      <c r="B494" t="s">
        <v>695</v>
      </c>
    </row>
    <row r="495" spans="2:2" x14ac:dyDescent="0.25">
      <c r="B495" t="s">
        <v>696</v>
      </c>
    </row>
    <row r="496" spans="2:2" x14ac:dyDescent="0.25">
      <c r="B496" t="s">
        <v>697</v>
      </c>
    </row>
    <row r="497" spans="2:2" x14ac:dyDescent="0.25">
      <c r="B497" t="s">
        <v>698</v>
      </c>
    </row>
    <row r="499" spans="2:2" x14ac:dyDescent="0.25">
      <c r="B499" s="5" t="s">
        <v>699</v>
      </c>
    </row>
    <row r="501" spans="2:2" x14ac:dyDescent="0.25">
      <c r="B501" t="s">
        <v>700</v>
      </c>
    </row>
    <row r="502" spans="2:2" x14ac:dyDescent="0.25">
      <c r="B502" t="s">
        <v>335</v>
      </c>
    </row>
    <row r="503" spans="2:2" x14ac:dyDescent="0.25">
      <c r="B503" t="s">
        <v>336</v>
      </c>
    </row>
    <row r="504" spans="2:2" x14ac:dyDescent="0.25">
      <c r="B504" t="s">
        <v>337</v>
      </c>
    </row>
    <row r="505" spans="2:2" x14ac:dyDescent="0.25">
      <c r="B505" t="s">
        <v>338</v>
      </c>
    </row>
    <row r="506" spans="2:2" x14ac:dyDescent="0.25">
      <c r="B506" t="s">
        <v>339</v>
      </c>
    </row>
    <row r="507" spans="2:2" x14ac:dyDescent="0.25">
      <c r="B507" t="s">
        <v>340</v>
      </c>
    </row>
    <row r="508" spans="2:2" x14ac:dyDescent="0.25">
      <c r="B508" t="s">
        <v>341</v>
      </c>
    </row>
    <row r="509" spans="2:2" x14ac:dyDescent="0.25">
      <c r="B509" t="s">
        <v>342</v>
      </c>
    </row>
    <row r="510" spans="2:2" x14ac:dyDescent="0.25">
      <c r="B510" t="s">
        <v>343</v>
      </c>
    </row>
    <row r="511" spans="2:2" x14ac:dyDescent="0.25">
      <c r="B511" t="s">
        <v>344</v>
      </c>
    </row>
    <row r="512" spans="2:2" x14ac:dyDescent="0.25">
      <c r="B512" t="s">
        <v>345</v>
      </c>
    </row>
    <row r="514" spans="2:2" x14ac:dyDescent="0.25">
      <c r="B514" t="s">
        <v>346</v>
      </c>
    </row>
    <row r="515" spans="2:2" x14ac:dyDescent="0.25">
      <c r="B515" t="s">
        <v>347</v>
      </c>
    </row>
    <row r="516" spans="2:2" x14ac:dyDescent="0.25">
      <c r="B516" t="s">
        <v>348</v>
      </c>
    </row>
    <row r="517" spans="2:2" x14ac:dyDescent="0.25">
      <c r="B517" t="s">
        <v>349</v>
      </c>
    </row>
    <row r="518" spans="2:2" x14ac:dyDescent="0.25">
      <c r="B518" t="s">
        <v>350</v>
      </c>
    </row>
    <row r="520" spans="2:2" x14ac:dyDescent="0.25">
      <c r="B520" t="s">
        <v>351</v>
      </c>
    </row>
    <row r="521" spans="2:2" x14ac:dyDescent="0.25">
      <c r="B521" t="s">
        <v>352</v>
      </c>
    </row>
    <row r="523" spans="2:2" x14ac:dyDescent="0.25">
      <c r="B523" t="s">
        <v>353</v>
      </c>
    </row>
    <row r="525" spans="2:2" x14ac:dyDescent="0.25">
      <c r="B525" s="7" t="s">
        <v>354</v>
      </c>
    </row>
    <row r="527" spans="2:2" x14ac:dyDescent="0.25">
      <c r="B527" t="s">
        <v>355</v>
      </c>
    </row>
    <row r="528" spans="2:2" x14ac:dyDescent="0.25">
      <c r="B528" t="s">
        <v>356</v>
      </c>
    </row>
    <row r="529" spans="2:2" x14ac:dyDescent="0.25">
      <c r="B529" t="s">
        <v>357</v>
      </c>
    </row>
    <row r="531" spans="2:2" x14ac:dyDescent="0.25">
      <c r="B531" s="7" t="s">
        <v>358</v>
      </c>
    </row>
    <row r="533" spans="2:2" x14ac:dyDescent="0.25">
      <c r="B533" t="s">
        <v>359</v>
      </c>
    </row>
    <row r="534" spans="2:2" x14ac:dyDescent="0.25">
      <c r="B534" t="s">
        <v>360</v>
      </c>
    </row>
    <row r="536" spans="2:2" x14ac:dyDescent="0.25">
      <c r="B536" s="5" t="s">
        <v>361</v>
      </c>
    </row>
    <row r="538" spans="2:2" x14ac:dyDescent="0.25">
      <c r="B538" t="s">
        <v>362</v>
      </c>
    </row>
    <row r="540" spans="2:2" x14ac:dyDescent="0.25">
      <c r="B540" s="7" t="s">
        <v>363</v>
      </c>
    </row>
    <row r="542" spans="2:2" x14ac:dyDescent="0.25">
      <c r="B542" t="s">
        <v>364</v>
      </c>
    </row>
    <row r="543" spans="2:2" x14ac:dyDescent="0.25">
      <c r="B543" t="s">
        <v>365</v>
      </c>
    </row>
    <row r="544" spans="2:2" x14ac:dyDescent="0.25">
      <c r="B544" t="s">
        <v>366</v>
      </c>
    </row>
    <row r="545" spans="2:2" x14ac:dyDescent="0.25">
      <c r="B545" t="s">
        <v>367</v>
      </c>
    </row>
    <row r="547" spans="2:2" x14ac:dyDescent="0.25">
      <c r="B547" t="s">
        <v>368</v>
      </c>
    </row>
    <row r="548" spans="2:2" x14ac:dyDescent="0.25">
      <c r="B548" t="s">
        <v>369</v>
      </c>
    </row>
    <row r="549" spans="2:2" x14ac:dyDescent="0.25">
      <c r="B549" t="s">
        <v>370</v>
      </c>
    </row>
    <row r="550" spans="2:2" x14ac:dyDescent="0.25">
      <c r="B550" t="s">
        <v>371</v>
      </c>
    </row>
    <row r="551" spans="2:2" x14ac:dyDescent="0.25">
      <c r="B551" t="s">
        <v>372</v>
      </c>
    </row>
    <row r="552" spans="2:2" x14ac:dyDescent="0.25">
      <c r="B552" t="s">
        <v>373</v>
      </c>
    </row>
    <row r="554" spans="2:2" x14ac:dyDescent="0.25">
      <c r="B554" t="s">
        <v>374</v>
      </c>
    </row>
    <row r="555" spans="2:2" x14ac:dyDescent="0.25">
      <c r="B555" t="s">
        <v>375</v>
      </c>
    </row>
    <row r="556" spans="2:2" x14ac:dyDescent="0.25">
      <c r="B556" t="s">
        <v>376</v>
      </c>
    </row>
    <row r="557" spans="2:2" x14ac:dyDescent="0.25">
      <c r="B557" t="s">
        <v>377</v>
      </c>
    </row>
    <row r="558" spans="2:2" x14ac:dyDescent="0.25">
      <c r="B558" t="s">
        <v>378</v>
      </c>
    </row>
    <row r="559" spans="2:2" x14ac:dyDescent="0.25">
      <c r="B559" t="s">
        <v>379</v>
      </c>
    </row>
    <row r="560" spans="2:2" x14ac:dyDescent="0.25">
      <c r="B560" t="s">
        <v>380</v>
      </c>
    </row>
    <row r="561" spans="2:2" x14ac:dyDescent="0.25">
      <c r="B561" t="s">
        <v>381</v>
      </c>
    </row>
    <row r="562" spans="2:2" x14ac:dyDescent="0.25">
      <c r="B562" t="s">
        <v>382</v>
      </c>
    </row>
    <row r="564" spans="2:2" x14ac:dyDescent="0.25">
      <c r="B564" s="5" t="s">
        <v>383</v>
      </c>
    </row>
    <row r="566" spans="2:2" x14ac:dyDescent="0.25">
      <c r="B566" t="s">
        <v>384</v>
      </c>
    </row>
    <row r="567" spans="2:2" x14ac:dyDescent="0.25">
      <c r="B567" t="s">
        <v>568</v>
      </c>
    </row>
    <row r="569" spans="2:2" x14ac:dyDescent="0.25">
      <c r="B569" s="8" t="s">
        <v>291</v>
      </c>
    </row>
    <row r="570" spans="2:2" x14ac:dyDescent="0.25">
      <c r="B570" s="8" t="s">
        <v>292</v>
      </c>
    </row>
    <row r="572" spans="2:2" x14ac:dyDescent="0.25">
      <c r="B572" t="s">
        <v>385</v>
      </c>
    </row>
    <row r="574" spans="2:2" x14ac:dyDescent="0.25">
      <c r="B574" t="s">
        <v>386</v>
      </c>
    </row>
    <row r="575" spans="2:2" x14ac:dyDescent="0.25">
      <c r="B575" t="s">
        <v>387</v>
      </c>
    </row>
    <row r="577" spans="2:2" x14ac:dyDescent="0.25">
      <c r="B577" s="8" t="s">
        <v>358</v>
      </c>
    </row>
    <row r="578" spans="2:2" x14ac:dyDescent="0.25">
      <c r="B578" t="s">
        <v>388</v>
      </c>
    </row>
    <row r="579" spans="2:2" x14ac:dyDescent="0.25">
      <c r="B579" t="s">
        <v>389</v>
      </c>
    </row>
    <row r="580" spans="2:2" x14ac:dyDescent="0.25">
      <c r="B580" t="s">
        <v>390</v>
      </c>
    </row>
    <row r="581" spans="2:2" x14ac:dyDescent="0.25">
      <c r="B581" t="s">
        <v>391</v>
      </c>
    </row>
    <row r="582" spans="2:2" x14ac:dyDescent="0.25">
      <c r="B582" t="s">
        <v>392</v>
      </c>
    </row>
    <row r="584" spans="2:2" x14ac:dyDescent="0.25">
      <c r="B584" t="s">
        <v>393</v>
      </c>
    </row>
    <row r="586" spans="2:2" x14ac:dyDescent="0.25">
      <c r="B586" s="8" t="s">
        <v>394</v>
      </c>
    </row>
    <row r="588" spans="2:2" x14ac:dyDescent="0.25">
      <c r="B588" t="s">
        <v>395</v>
      </c>
    </row>
    <row r="590" spans="2:2" x14ac:dyDescent="0.25">
      <c r="B590" s="8" t="s">
        <v>363</v>
      </c>
    </row>
    <row r="592" spans="2:2" x14ac:dyDescent="0.25">
      <c r="B592" t="s">
        <v>396</v>
      </c>
    </row>
    <row r="593" spans="2:2" x14ac:dyDescent="0.25">
      <c r="B593" t="s">
        <v>397</v>
      </c>
    </row>
    <row r="595" spans="2:2" x14ac:dyDescent="0.25">
      <c r="B595" s="5" t="s">
        <v>398</v>
      </c>
    </row>
    <row r="597" spans="2:2" x14ac:dyDescent="0.25">
      <c r="B597" t="s">
        <v>399</v>
      </c>
    </row>
    <row r="599" spans="2:2" x14ac:dyDescent="0.25">
      <c r="B599" s="8" t="s">
        <v>400</v>
      </c>
    </row>
    <row r="601" spans="2:2" x14ac:dyDescent="0.25">
      <c r="B601" t="s">
        <v>401</v>
      </c>
    </row>
    <row r="603" spans="2:2" x14ac:dyDescent="0.25">
      <c r="B603" s="7" t="s">
        <v>402</v>
      </c>
    </row>
    <row r="605" spans="2:2" x14ac:dyDescent="0.25">
      <c r="B605" t="s">
        <v>403</v>
      </c>
    </row>
    <row r="606" spans="2:2" x14ac:dyDescent="0.25">
      <c r="B606" t="s">
        <v>404</v>
      </c>
    </row>
    <row r="607" spans="2:2" x14ac:dyDescent="0.25">
      <c r="B607" t="s">
        <v>405</v>
      </c>
    </row>
    <row r="608" spans="2:2" x14ac:dyDescent="0.25">
      <c r="B608" t="s">
        <v>406</v>
      </c>
    </row>
    <row r="609" spans="2:2" x14ac:dyDescent="0.25">
      <c r="B609" t="s">
        <v>407</v>
      </c>
    </row>
    <row r="610" spans="2:2" x14ac:dyDescent="0.25">
      <c r="B610" t="s">
        <v>408</v>
      </c>
    </row>
    <row r="611" spans="2:2" x14ac:dyDescent="0.25">
      <c r="B611" t="s">
        <v>409</v>
      </c>
    </row>
    <row r="612" spans="2:2" x14ac:dyDescent="0.25">
      <c r="B612" t="s">
        <v>410</v>
      </c>
    </row>
    <row r="613" spans="2:2" x14ac:dyDescent="0.25">
      <c r="B613" t="s">
        <v>411</v>
      </c>
    </row>
    <row r="614" spans="2:2" x14ac:dyDescent="0.25">
      <c r="B614" t="s">
        <v>412</v>
      </c>
    </row>
    <row r="615" spans="2:2" x14ac:dyDescent="0.25">
      <c r="B615" t="s">
        <v>413</v>
      </c>
    </row>
    <row r="617" spans="2:2" x14ac:dyDescent="0.25">
      <c r="B617" s="5" t="s">
        <v>1153</v>
      </c>
    </row>
    <row r="618" spans="2:2" x14ac:dyDescent="0.25">
      <c r="B618" s="70"/>
    </row>
    <row r="619" spans="2:2" x14ac:dyDescent="0.25">
      <c r="B619" s="107" t="s">
        <v>1154</v>
      </c>
    </row>
    <row r="620" spans="2:2" x14ac:dyDescent="0.25">
      <c r="B620" s="70"/>
    </row>
    <row r="621" spans="2:2" x14ac:dyDescent="0.25">
      <c r="B621" s="70" t="s">
        <v>1170</v>
      </c>
    </row>
    <row r="622" spans="2:2" x14ac:dyDescent="0.25">
      <c r="B622" s="70" t="s">
        <v>1155</v>
      </c>
    </row>
    <row r="623" spans="2:2" x14ac:dyDescent="0.25">
      <c r="B623" s="70" t="s">
        <v>1156</v>
      </c>
    </row>
    <row r="624" spans="2:2" x14ac:dyDescent="0.25">
      <c r="B624" s="70" t="s">
        <v>1157</v>
      </c>
    </row>
    <row r="625" spans="2:2" x14ac:dyDescent="0.25">
      <c r="B625" s="70" t="s">
        <v>1158</v>
      </c>
    </row>
    <row r="626" spans="2:2" x14ac:dyDescent="0.25">
      <c r="B626" s="70"/>
    </row>
    <row r="627" spans="2:2" x14ac:dyDescent="0.25">
      <c r="B627" s="70" t="s">
        <v>1168</v>
      </c>
    </row>
    <row r="628" spans="2:2" x14ac:dyDescent="0.25">
      <c r="B628" s="70" t="s">
        <v>1159</v>
      </c>
    </row>
    <row r="629" spans="2:2" x14ac:dyDescent="0.25">
      <c r="B629" s="70" t="s">
        <v>1160</v>
      </c>
    </row>
    <row r="630" spans="2:2" x14ac:dyDescent="0.25">
      <c r="B630" s="70"/>
    </row>
    <row r="631" spans="2:2" x14ac:dyDescent="0.25">
      <c r="B631" s="70" t="s">
        <v>1169</v>
      </c>
    </row>
    <row r="632" spans="2:2" x14ac:dyDescent="0.25">
      <c r="B632" s="70" t="s">
        <v>1161</v>
      </c>
    </row>
    <row r="633" spans="2:2" x14ac:dyDescent="0.25">
      <c r="B633" s="70"/>
    </row>
    <row r="634" spans="2:2" x14ac:dyDescent="0.25">
      <c r="B634" s="70" t="s">
        <v>1162</v>
      </c>
    </row>
    <row r="635" spans="2:2" x14ac:dyDescent="0.25">
      <c r="B635" s="70" t="s">
        <v>1163</v>
      </c>
    </row>
    <row r="636" spans="2:2" x14ac:dyDescent="0.25">
      <c r="B636" s="70" t="s">
        <v>1164</v>
      </c>
    </row>
    <row r="637" spans="2:2" x14ac:dyDescent="0.25">
      <c r="B637" s="70" t="s">
        <v>1165</v>
      </c>
    </row>
    <row r="638" spans="2:2" x14ac:dyDescent="0.25">
      <c r="B638" s="70" t="s">
        <v>1166</v>
      </c>
    </row>
    <row r="639" spans="2:2" x14ac:dyDescent="0.25">
      <c r="B639" s="70" t="s">
        <v>1167</v>
      </c>
    </row>
    <row r="641" spans="2:2" x14ac:dyDescent="0.25">
      <c r="B641" s="5" t="s">
        <v>414</v>
      </c>
    </row>
    <row r="643" spans="2:2" x14ac:dyDescent="0.25">
      <c r="B643" t="s">
        <v>415</v>
      </c>
    </row>
    <row r="644" spans="2:2" x14ac:dyDescent="0.25">
      <c r="B644" t="s">
        <v>416</v>
      </c>
    </row>
    <row r="645" spans="2:2" x14ac:dyDescent="0.25">
      <c r="B645" t="s">
        <v>417</v>
      </c>
    </row>
    <row r="646" spans="2:2" x14ac:dyDescent="0.25">
      <c r="B646" t="s">
        <v>418</v>
      </c>
    </row>
    <row r="647" spans="2:2" x14ac:dyDescent="0.25">
      <c r="B647" t="s">
        <v>419</v>
      </c>
    </row>
    <row r="648" spans="2:2" x14ac:dyDescent="0.25">
      <c r="B648" t="s">
        <v>420</v>
      </c>
    </row>
    <row r="649" spans="2:2" x14ac:dyDescent="0.25">
      <c r="B649" t="s">
        <v>421</v>
      </c>
    </row>
    <row r="650" spans="2:2" x14ac:dyDescent="0.25">
      <c r="B650" t="s">
        <v>1055</v>
      </c>
    </row>
    <row r="651" spans="2:2" x14ac:dyDescent="0.25">
      <c r="B651" t="s">
        <v>1056</v>
      </c>
    </row>
    <row r="652" spans="2:2" x14ac:dyDescent="0.25">
      <c r="B652" t="s">
        <v>1057</v>
      </c>
    </row>
    <row r="654" spans="2:2" x14ac:dyDescent="0.25">
      <c r="B654" t="s">
        <v>1058</v>
      </c>
    </row>
    <row r="656" spans="2:2" x14ac:dyDescent="0.25">
      <c r="B656" s="7" t="s">
        <v>1059</v>
      </c>
    </row>
    <row r="657" spans="2:2" x14ac:dyDescent="0.25">
      <c r="B657" s="7" t="s">
        <v>1060</v>
      </c>
    </row>
    <row r="658" spans="2:2" x14ac:dyDescent="0.25">
      <c r="B658" s="7" t="s">
        <v>1061</v>
      </c>
    </row>
    <row r="660" spans="2:2" x14ac:dyDescent="0.25">
      <c r="B660" t="s">
        <v>1062</v>
      </c>
    </row>
    <row r="661" spans="2:2" x14ac:dyDescent="0.25">
      <c r="B661" t="s">
        <v>1063</v>
      </c>
    </row>
    <row r="662" spans="2:2" x14ac:dyDescent="0.25">
      <c r="B662" t="s">
        <v>1064</v>
      </c>
    </row>
    <row r="664" spans="2:2" x14ac:dyDescent="0.25">
      <c r="B664" t="s">
        <v>1065</v>
      </c>
    </row>
    <row r="665" spans="2:2" x14ac:dyDescent="0.25">
      <c r="B665" t="s">
        <v>1066</v>
      </c>
    </row>
    <row r="666" spans="2:2" x14ac:dyDescent="0.25">
      <c r="B666" t="s">
        <v>1067</v>
      </c>
    </row>
    <row r="667" spans="2:2" x14ac:dyDescent="0.25">
      <c r="B667" t="s">
        <v>1068</v>
      </c>
    </row>
    <row r="669" spans="2:2" x14ac:dyDescent="0.25">
      <c r="B669" s="5" t="s">
        <v>1134</v>
      </c>
    </row>
    <row r="670" spans="2:2" x14ac:dyDescent="0.25">
      <c r="B670" s="5"/>
    </row>
    <row r="671" spans="2:2" x14ac:dyDescent="0.25">
      <c r="B671" s="70" t="s">
        <v>1138</v>
      </c>
    </row>
    <row r="672" spans="2:2" x14ac:dyDescent="0.25">
      <c r="B672" s="70" t="s">
        <v>1146</v>
      </c>
    </row>
    <row r="673" spans="2:2" x14ac:dyDescent="0.25">
      <c r="B673" s="70" t="s">
        <v>1136</v>
      </c>
    </row>
    <row r="674" spans="2:2" x14ac:dyDescent="0.25">
      <c r="B674" s="70" t="s">
        <v>1137</v>
      </c>
    </row>
    <row r="675" spans="2:2" x14ac:dyDescent="0.25">
      <c r="B675" s="70" t="s">
        <v>1135</v>
      </c>
    </row>
    <row r="677" spans="2:2" x14ac:dyDescent="0.25">
      <c r="B677" s="5" t="s">
        <v>1069</v>
      </c>
    </row>
    <row r="679" spans="2:2" x14ac:dyDescent="0.25">
      <c r="B679" t="s">
        <v>1070</v>
      </c>
    </row>
    <row r="680" spans="2:2" x14ac:dyDescent="0.25">
      <c r="B680" t="s">
        <v>1071</v>
      </c>
    </row>
    <row r="681" spans="2:2" x14ac:dyDescent="0.25">
      <c r="B681" t="s">
        <v>1072</v>
      </c>
    </row>
    <row r="683" spans="2:2" x14ac:dyDescent="0.25">
      <c r="B683" s="7" t="s">
        <v>1073</v>
      </c>
    </row>
    <row r="685" spans="2:2" x14ac:dyDescent="0.25">
      <c r="B685" t="s">
        <v>1074</v>
      </c>
    </row>
    <row r="686" spans="2:2" x14ac:dyDescent="0.25">
      <c r="B686" t="s">
        <v>1075</v>
      </c>
    </row>
    <row r="688" spans="2:2" x14ac:dyDescent="0.25">
      <c r="B688" t="s">
        <v>1076</v>
      </c>
    </row>
    <row r="689" spans="2:2" x14ac:dyDescent="0.25">
      <c r="B689" t="s">
        <v>1077</v>
      </c>
    </row>
    <row r="690" spans="2:2" x14ac:dyDescent="0.25">
      <c r="B690" t="s">
        <v>1078</v>
      </c>
    </row>
    <row r="691" spans="2:2" x14ac:dyDescent="0.25">
      <c r="B691" t="s">
        <v>1079</v>
      </c>
    </row>
    <row r="692" spans="2:2" x14ac:dyDescent="0.25">
      <c r="B692" t="s">
        <v>1080</v>
      </c>
    </row>
    <row r="693" spans="2:2" x14ac:dyDescent="0.25">
      <c r="B693" t="s">
        <v>288</v>
      </c>
    </row>
    <row r="694" spans="2:2" x14ac:dyDescent="0.25">
      <c r="B694" t="s">
        <v>1081</v>
      </c>
    </row>
    <row r="696" spans="2:2" x14ac:dyDescent="0.25">
      <c r="B696" t="s">
        <v>1082</v>
      </c>
    </row>
    <row r="697" spans="2:2" x14ac:dyDescent="0.25">
      <c r="B697" t="s">
        <v>1083</v>
      </c>
    </row>
    <row r="698" spans="2:2" x14ac:dyDescent="0.25">
      <c r="B698" t="s">
        <v>1084</v>
      </c>
    </row>
    <row r="699" spans="2:2" x14ac:dyDescent="0.25">
      <c r="B699" t="s">
        <v>1085</v>
      </c>
    </row>
    <row r="700" spans="2:2" x14ac:dyDescent="0.25">
      <c r="B700" t="s">
        <v>1086</v>
      </c>
    </row>
    <row r="701" spans="2:2" x14ac:dyDescent="0.25">
      <c r="B701" t="s">
        <v>1087</v>
      </c>
    </row>
    <row r="702" spans="2:2" x14ac:dyDescent="0.25">
      <c r="B702" t="s">
        <v>1088</v>
      </c>
    </row>
    <row r="703" spans="2:2" x14ac:dyDescent="0.25">
      <c r="B703" t="s">
        <v>1089</v>
      </c>
    </row>
    <row r="704" spans="2:2" x14ac:dyDescent="0.25">
      <c r="B704" t="s">
        <v>447</v>
      </c>
    </row>
    <row r="706" spans="2:2" x14ac:dyDescent="0.25">
      <c r="B706" s="5" t="s">
        <v>448</v>
      </c>
    </row>
    <row r="708" spans="2:2" x14ac:dyDescent="0.25">
      <c r="B708" t="s">
        <v>449</v>
      </c>
    </row>
    <row r="709" spans="2:2" x14ac:dyDescent="0.25">
      <c r="B709" t="s">
        <v>450</v>
      </c>
    </row>
    <row r="710" spans="2:2" x14ac:dyDescent="0.25">
      <c r="B710" t="s">
        <v>451</v>
      </c>
    </row>
    <row r="711" spans="2:2" x14ac:dyDescent="0.25">
      <c r="B711" t="s">
        <v>452</v>
      </c>
    </row>
    <row r="712" spans="2:2" x14ac:dyDescent="0.25">
      <c r="B712" t="s">
        <v>453</v>
      </c>
    </row>
    <row r="713" spans="2:2" x14ac:dyDescent="0.25">
      <c r="B713" t="s">
        <v>454</v>
      </c>
    </row>
    <row r="714" spans="2:2" x14ac:dyDescent="0.25">
      <c r="B714" t="s">
        <v>455</v>
      </c>
    </row>
    <row r="715" spans="2:2" x14ac:dyDescent="0.25">
      <c r="B715" t="s">
        <v>456</v>
      </c>
    </row>
    <row r="716" spans="2:2" x14ac:dyDescent="0.25">
      <c r="B716" t="s">
        <v>457</v>
      </c>
    </row>
    <row r="717" spans="2:2" x14ac:dyDescent="0.25">
      <c r="B717" t="s">
        <v>458</v>
      </c>
    </row>
    <row r="718" spans="2:2" x14ac:dyDescent="0.25">
      <c r="B718" t="s">
        <v>459</v>
      </c>
    </row>
    <row r="719" spans="2:2" x14ac:dyDescent="0.25">
      <c r="B719" t="s">
        <v>460</v>
      </c>
    </row>
    <row r="720" spans="2:2" x14ac:dyDescent="0.25">
      <c r="B720" t="s">
        <v>461</v>
      </c>
    </row>
    <row r="721" spans="2:2" x14ac:dyDescent="0.25">
      <c r="B721" t="s">
        <v>462</v>
      </c>
    </row>
    <row r="723" spans="2:2" x14ac:dyDescent="0.25">
      <c r="B723" t="s">
        <v>463</v>
      </c>
    </row>
    <row r="724" spans="2:2" x14ac:dyDescent="0.25">
      <c r="B724" t="s">
        <v>464</v>
      </c>
    </row>
    <row r="725" spans="2:2" x14ac:dyDescent="0.25">
      <c r="B725" t="s">
        <v>465</v>
      </c>
    </row>
    <row r="726" spans="2:2" x14ac:dyDescent="0.25">
      <c r="B726" t="s">
        <v>466</v>
      </c>
    </row>
    <row r="728" spans="2:2" x14ac:dyDescent="0.25">
      <c r="B728" t="s">
        <v>467</v>
      </c>
    </row>
    <row r="729" spans="2:2" x14ac:dyDescent="0.25">
      <c r="B729" t="s">
        <v>468</v>
      </c>
    </row>
    <row r="731" spans="2:2" x14ac:dyDescent="0.25">
      <c r="B731" t="s">
        <v>469</v>
      </c>
    </row>
    <row r="732" spans="2:2" x14ac:dyDescent="0.25">
      <c r="B732" t="s">
        <v>470</v>
      </c>
    </row>
    <row r="733" spans="2:2" x14ac:dyDescent="0.25">
      <c r="B733" t="s">
        <v>471</v>
      </c>
    </row>
    <row r="734" spans="2:2" x14ac:dyDescent="0.25">
      <c r="B734" t="s">
        <v>472</v>
      </c>
    </row>
    <row r="735" spans="2:2" x14ac:dyDescent="0.25">
      <c r="B735" t="s">
        <v>473</v>
      </c>
    </row>
    <row r="736" spans="2:2" x14ac:dyDescent="0.25">
      <c r="B736" t="s">
        <v>474</v>
      </c>
    </row>
    <row r="737" spans="2:2" x14ac:dyDescent="0.25">
      <c r="B737" t="s">
        <v>475</v>
      </c>
    </row>
    <row r="738" spans="2:2" x14ac:dyDescent="0.25">
      <c r="B738" t="s">
        <v>476</v>
      </c>
    </row>
    <row r="739" spans="2:2" x14ac:dyDescent="0.25">
      <c r="B739" t="s">
        <v>477</v>
      </c>
    </row>
    <row r="740" spans="2:2" x14ac:dyDescent="0.25">
      <c r="B740" t="s">
        <v>478</v>
      </c>
    </row>
    <row r="742" spans="2:2" x14ac:dyDescent="0.25">
      <c r="B742" t="s">
        <v>479</v>
      </c>
    </row>
    <row r="743" spans="2:2" x14ac:dyDescent="0.25">
      <c r="B743" t="s">
        <v>480</v>
      </c>
    </row>
    <row r="744" spans="2:2" x14ac:dyDescent="0.25">
      <c r="B744" t="s">
        <v>481</v>
      </c>
    </row>
    <row r="745" spans="2:2" x14ac:dyDescent="0.25">
      <c r="B745" t="s">
        <v>482</v>
      </c>
    </row>
    <row r="746" spans="2:2" x14ac:dyDescent="0.25">
      <c r="B746" t="s">
        <v>483</v>
      </c>
    </row>
    <row r="747" spans="2:2" x14ac:dyDescent="0.25">
      <c r="B747" t="s">
        <v>484</v>
      </c>
    </row>
    <row r="748" spans="2:2" x14ac:dyDescent="0.25">
      <c r="B748" t="s">
        <v>485</v>
      </c>
    </row>
    <row r="749" spans="2:2" x14ac:dyDescent="0.25">
      <c r="B749" t="s">
        <v>486</v>
      </c>
    </row>
    <row r="750" spans="2:2" x14ac:dyDescent="0.25">
      <c r="B750" t="s">
        <v>487</v>
      </c>
    </row>
    <row r="751" spans="2:2" x14ac:dyDescent="0.25">
      <c r="B751" t="s">
        <v>488</v>
      </c>
    </row>
    <row r="752" spans="2:2" x14ac:dyDescent="0.25">
      <c r="B752" t="s">
        <v>489</v>
      </c>
    </row>
    <row r="753" spans="2:2" x14ac:dyDescent="0.25">
      <c r="B753" t="s">
        <v>447</v>
      </c>
    </row>
    <row r="755" spans="2:2" x14ac:dyDescent="0.25">
      <c r="B755" t="s">
        <v>569</v>
      </c>
    </row>
    <row r="756" spans="2:2" x14ac:dyDescent="0.25">
      <c r="B756" t="s">
        <v>490</v>
      </c>
    </row>
    <row r="757" spans="2:2" x14ac:dyDescent="0.25">
      <c r="B757" t="s">
        <v>491</v>
      </c>
    </row>
    <row r="758" spans="2:2" x14ac:dyDescent="0.25">
      <c r="B758" t="s">
        <v>492</v>
      </c>
    </row>
    <row r="759" spans="2:2" x14ac:dyDescent="0.25">
      <c r="B759" t="s">
        <v>493</v>
      </c>
    </row>
    <row r="760" spans="2:2" x14ac:dyDescent="0.25">
      <c r="B760" t="s">
        <v>494</v>
      </c>
    </row>
    <row r="761" spans="2:2" x14ac:dyDescent="0.25">
      <c r="B761" t="s">
        <v>495</v>
      </c>
    </row>
    <row r="762" spans="2:2" x14ac:dyDescent="0.25">
      <c r="B762" t="s">
        <v>496</v>
      </c>
    </row>
    <row r="764" spans="2:2" x14ac:dyDescent="0.25">
      <c r="B764" s="5" t="s">
        <v>497</v>
      </c>
    </row>
    <row r="766" spans="2:2" x14ac:dyDescent="0.25">
      <c r="B766" t="s">
        <v>498</v>
      </c>
    </row>
    <row r="768" spans="2:2" x14ac:dyDescent="0.25">
      <c r="B768" s="7" t="s">
        <v>499</v>
      </c>
    </row>
    <row r="770" spans="2:2" x14ac:dyDescent="0.25">
      <c r="B770" s="7" t="s">
        <v>500</v>
      </c>
    </row>
    <row r="772" spans="2:2" x14ac:dyDescent="0.25">
      <c r="B772" t="s">
        <v>501</v>
      </c>
    </row>
    <row r="773" spans="2:2" x14ac:dyDescent="0.25">
      <c r="B773" t="s">
        <v>502</v>
      </c>
    </row>
    <row r="774" spans="2:2" x14ac:dyDescent="0.25">
      <c r="B774" t="s">
        <v>503</v>
      </c>
    </row>
    <row r="775" spans="2:2" x14ac:dyDescent="0.25">
      <c r="B775" t="s">
        <v>504</v>
      </c>
    </row>
    <row r="777" spans="2:2" x14ac:dyDescent="0.25">
      <c r="B777" t="s">
        <v>505</v>
      </c>
    </row>
    <row r="778" spans="2:2" x14ac:dyDescent="0.25">
      <c r="B778" t="s">
        <v>506</v>
      </c>
    </row>
    <row r="780" spans="2:2" x14ac:dyDescent="0.25">
      <c r="B780" t="s">
        <v>507</v>
      </c>
    </row>
    <row r="781" spans="2:2" x14ac:dyDescent="0.25">
      <c r="B781" t="s">
        <v>508</v>
      </c>
    </row>
    <row r="782" spans="2:2" x14ac:dyDescent="0.25">
      <c r="B782" t="s">
        <v>509</v>
      </c>
    </row>
    <row r="784" spans="2:2" x14ac:dyDescent="0.25">
      <c r="B784" t="s">
        <v>510</v>
      </c>
    </row>
    <row r="785" spans="2:2" x14ac:dyDescent="0.25">
      <c r="B785" t="s">
        <v>511</v>
      </c>
    </row>
    <row r="786" spans="2:2" x14ac:dyDescent="0.25">
      <c r="B786" t="s">
        <v>512</v>
      </c>
    </row>
    <row r="787" spans="2:2" x14ac:dyDescent="0.25">
      <c r="B787" t="s">
        <v>513</v>
      </c>
    </row>
    <row r="788" spans="2:2" x14ac:dyDescent="0.25">
      <c r="B788" t="s">
        <v>514</v>
      </c>
    </row>
    <row r="789" spans="2:2" x14ac:dyDescent="0.25">
      <c r="B789" t="s">
        <v>515</v>
      </c>
    </row>
    <row r="790" spans="2:2" x14ac:dyDescent="0.25">
      <c r="B790" t="s">
        <v>516</v>
      </c>
    </row>
    <row r="792" spans="2:2" x14ac:dyDescent="0.25">
      <c r="B792" t="s">
        <v>517</v>
      </c>
    </row>
    <row r="793" spans="2:2" x14ac:dyDescent="0.25">
      <c r="B793" t="s">
        <v>518</v>
      </c>
    </row>
    <row r="794" spans="2:2" x14ac:dyDescent="0.25">
      <c r="B794" t="s">
        <v>519</v>
      </c>
    </row>
    <row r="796" spans="2:2" x14ac:dyDescent="0.25">
      <c r="B796" t="s">
        <v>520</v>
      </c>
    </row>
    <row r="798" spans="2:2" x14ac:dyDescent="0.25">
      <c r="B798" t="s">
        <v>521</v>
      </c>
    </row>
    <row r="799" spans="2:2" x14ac:dyDescent="0.25">
      <c r="B799" t="s">
        <v>522</v>
      </c>
    </row>
    <row r="801" spans="2:2" x14ac:dyDescent="0.25">
      <c r="B801" t="s">
        <v>523</v>
      </c>
    </row>
    <row r="802" spans="2:2" x14ac:dyDescent="0.25">
      <c r="B802" t="s">
        <v>524</v>
      </c>
    </row>
    <row r="803" spans="2:2" x14ac:dyDescent="0.25">
      <c r="B803" t="s">
        <v>525</v>
      </c>
    </row>
    <row r="804" spans="2:2" x14ac:dyDescent="0.25">
      <c r="B804" t="s">
        <v>526</v>
      </c>
    </row>
    <row r="806" spans="2:2" x14ac:dyDescent="0.25">
      <c r="B806" s="5" t="s">
        <v>527</v>
      </c>
    </row>
    <row r="808" spans="2:2" x14ac:dyDescent="0.25">
      <c r="B808" t="s">
        <v>528</v>
      </c>
    </row>
    <row r="810" spans="2:2" x14ac:dyDescent="0.25">
      <c r="B810" t="s">
        <v>529</v>
      </c>
    </row>
    <row r="811" spans="2:2" x14ac:dyDescent="0.25">
      <c r="B811" t="s">
        <v>530</v>
      </c>
    </row>
    <row r="812" spans="2:2" x14ac:dyDescent="0.25">
      <c r="B812" t="s">
        <v>531</v>
      </c>
    </row>
    <row r="813" spans="2:2" x14ac:dyDescent="0.25">
      <c r="B813" t="s">
        <v>532</v>
      </c>
    </row>
    <row r="814" spans="2:2" x14ac:dyDescent="0.25">
      <c r="B814" t="s">
        <v>533</v>
      </c>
    </row>
    <row r="816" spans="2:2" x14ac:dyDescent="0.25">
      <c r="B816" t="s">
        <v>534</v>
      </c>
    </row>
    <row r="817" spans="2:2" x14ac:dyDescent="0.25">
      <c r="B817" t="s">
        <v>535</v>
      </c>
    </row>
    <row r="819" spans="2:2" x14ac:dyDescent="0.25">
      <c r="B819" t="s">
        <v>536</v>
      </c>
    </row>
    <row r="820" spans="2:2" x14ac:dyDescent="0.25">
      <c r="B820" t="s">
        <v>537</v>
      </c>
    </row>
    <row r="822" spans="2:2" x14ac:dyDescent="0.25">
      <c r="B822" s="5" t="s">
        <v>538</v>
      </c>
    </row>
    <row r="823" spans="2:2" x14ac:dyDescent="0.25">
      <c r="B823" s="5"/>
    </row>
    <row r="824" spans="2:2" x14ac:dyDescent="0.25">
      <c r="B824" t="s">
        <v>539</v>
      </c>
    </row>
    <row r="825" spans="2:2" x14ac:dyDescent="0.25">
      <c r="B825" s="3"/>
    </row>
    <row r="826" spans="2:2" x14ac:dyDescent="0.25">
      <c r="B826" s="3" t="s">
        <v>540</v>
      </c>
    </row>
    <row r="827" spans="2:2" x14ac:dyDescent="0.25">
      <c r="B827" s="3" t="s">
        <v>541</v>
      </c>
    </row>
    <row r="828" spans="2:2" x14ac:dyDescent="0.25">
      <c r="B828" s="3" t="s">
        <v>542</v>
      </c>
    </row>
    <row r="829" spans="2:2" x14ac:dyDescent="0.25">
      <c r="B829" s="3" t="s">
        <v>543</v>
      </c>
    </row>
    <row r="830" spans="2:2" x14ac:dyDescent="0.25">
      <c r="B830" s="3" t="s">
        <v>544</v>
      </c>
    </row>
    <row r="831" spans="2:2" x14ac:dyDescent="0.25">
      <c r="B831" s="3" t="s">
        <v>545</v>
      </c>
    </row>
    <row r="832" spans="2:2" x14ac:dyDescent="0.25">
      <c r="B832" t="s">
        <v>546</v>
      </c>
    </row>
    <row r="834" spans="2:2" x14ac:dyDescent="0.25">
      <c r="B834" s="5" t="s">
        <v>547</v>
      </c>
    </row>
    <row r="836" spans="2:2" x14ac:dyDescent="0.25">
      <c r="B836" t="s">
        <v>548</v>
      </c>
    </row>
    <row r="837" spans="2:2" x14ac:dyDescent="0.25">
      <c r="B837" t="s">
        <v>549</v>
      </c>
    </row>
    <row r="838" spans="2:2" x14ac:dyDescent="0.25">
      <c r="B838" t="s">
        <v>550</v>
      </c>
    </row>
    <row r="839" spans="2:2" x14ac:dyDescent="0.25">
      <c r="B839" t="s">
        <v>551</v>
      </c>
    </row>
    <row r="840" spans="2:2" x14ac:dyDescent="0.25">
      <c r="B840" t="s">
        <v>552</v>
      </c>
    </row>
    <row r="842" spans="2:2" x14ac:dyDescent="0.25">
      <c r="B842" t="s">
        <v>553</v>
      </c>
    </row>
    <row r="843" spans="2:2" x14ac:dyDescent="0.25">
      <c r="B843" t="s">
        <v>554</v>
      </c>
    </row>
    <row r="844" spans="2:2" x14ac:dyDescent="0.25">
      <c r="B844" t="s">
        <v>555</v>
      </c>
    </row>
    <row r="846" spans="2:2" x14ac:dyDescent="0.25">
      <c r="B846" t="s">
        <v>556</v>
      </c>
    </row>
    <row r="847" spans="2:2" x14ac:dyDescent="0.25">
      <c r="B847" t="s">
        <v>557</v>
      </c>
    </row>
    <row r="849" spans="2:2" x14ac:dyDescent="0.25">
      <c r="B849" s="5" t="s">
        <v>558</v>
      </c>
    </row>
    <row r="851" spans="2:2" x14ac:dyDescent="0.25">
      <c r="B851" t="s">
        <v>559</v>
      </c>
    </row>
    <row r="852" spans="2:2" x14ac:dyDescent="0.25">
      <c r="B852" t="s">
        <v>560</v>
      </c>
    </row>
    <row r="853" spans="2:2" x14ac:dyDescent="0.25">
      <c r="B853" t="s">
        <v>561</v>
      </c>
    </row>
    <row r="854" spans="2:2" x14ac:dyDescent="0.25">
      <c r="B854" t="s">
        <v>562</v>
      </c>
    </row>
    <row r="855" spans="2:2" x14ac:dyDescent="0.25">
      <c r="B855" t="s">
        <v>563</v>
      </c>
    </row>
    <row r="856" spans="2:2" x14ac:dyDescent="0.25">
      <c r="B856" t="s">
        <v>564</v>
      </c>
    </row>
    <row r="857" spans="2:2" x14ac:dyDescent="0.25">
      <c r="B857" t="s">
        <v>565</v>
      </c>
    </row>
    <row r="859" spans="2:2" x14ac:dyDescent="0.25">
      <c r="B859" t="s">
        <v>214</v>
      </c>
    </row>
    <row r="860" spans="2:2" x14ac:dyDescent="0.25">
      <c r="B860" t="s">
        <v>215</v>
      </c>
    </row>
    <row r="861" spans="2:2" x14ac:dyDescent="0.25">
      <c r="B861" t="s">
        <v>216</v>
      </c>
    </row>
    <row r="862" spans="2:2" x14ac:dyDescent="0.25">
      <c r="B862" t="s">
        <v>217</v>
      </c>
    </row>
    <row r="864" spans="2:2" x14ac:dyDescent="0.25">
      <c r="B864" s="5" t="s">
        <v>218</v>
      </c>
    </row>
    <row r="866" spans="2:2" x14ac:dyDescent="0.25">
      <c r="B866" t="s">
        <v>219</v>
      </c>
    </row>
    <row r="867" spans="2:2" x14ac:dyDescent="0.25">
      <c r="B867" t="s">
        <v>220</v>
      </c>
    </row>
    <row r="868" spans="2:2" x14ac:dyDescent="0.25">
      <c r="B868" t="s">
        <v>221</v>
      </c>
    </row>
    <row r="869" spans="2:2" x14ac:dyDescent="0.25">
      <c r="B869" t="s">
        <v>388</v>
      </c>
    </row>
    <row r="870" spans="2:2" x14ac:dyDescent="0.25">
      <c r="B870" t="s">
        <v>222</v>
      </c>
    </row>
    <row r="871" spans="2:2" x14ac:dyDescent="0.25">
      <c r="B871" t="s">
        <v>223</v>
      </c>
    </row>
    <row r="873" spans="2:2" x14ac:dyDescent="0.25">
      <c r="B873" t="s">
        <v>224</v>
      </c>
    </row>
    <row r="874" spans="2:2" x14ac:dyDescent="0.25">
      <c r="B874" t="s">
        <v>225</v>
      </c>
    </row>
    <row r="876" spans="2:2" x14ac:dyDescent="0.25">
      <c r="B876" t="s">
        <v>581</v>
      </c>
    </row>
    <row r="877" spans="2:2" x14ac:dyDescent="0.25">
      <c r="B877" t="s">
        <v>582</v>
      </c>
    </row>
    <row r="878" spans="2:2" x14ac:dyDescent="0.25">
      <c r="B878" t="s">
        <v>583</v>
      </c>
    </row>
    <row r="880" spans="2:2" x14ac:dyDescent="0.25">
      <c r="B880" t="s">
        <v>584</v>
      </c>
    </row>
    <row r="881" spans="2:2" x14ac:dyDescent="0.25">
      <c r="B881" t="s">
        <v>585</v>
      </c>
    </row>
    <row r="882" spans="2:2" x14ac:dyDescent="0.25">
      <c r="B882" t="s">
        <v>586</v>
      </c>
    </row>
    <row r="884" spans="2:2" x14ac:dyDescent="0.25">
      <c r="B884" t="s">
        <v>587</v>
      </c>
    </row>
    <row r="885" spans="2:2" x14ac:dyDescent="0.25">
      <c r="B885" t="s">
        <v>588</v>
      </c>
    </row>
    <row r="886" spans="2:2" x14ac:dyDescent="0.25">
      <c r="B886" t="s">
        <v>589</v>
      </c>
    </row>
    <row r="888" spans="2:2" x14ac:dyDescent="0.25">
      <c r="B888" t="s">
        <v>590</v>
      </c>
    </row>
    <row r="889" spans="2:2" x14ac:dyDescent="0.25">
      <c r="B889" t="s">
        <v>591</v>
      </c>
    </row>
    <row r="890" spans="2:2" x14ac:dyDescent="0.25">
      <c r="B890" t="s">
        <v>388</v>
      </c>
    </row>
    <row r="891" spans="2:2" x14ac:dyDescent="0.25">
      <c r="B891" t="s">
        <v>592</v>
      </c>
    </row>
    <row r="892" spans="2:2" x14ac:dyDescent="0.25">
      <c r="B892" t="s">
        <v>593</v>
      </c>
    </row>
    <row r="893" spans="2:2" x14ac:dyDescent="0.25">
      <c r="B893" t="s">
        <v>594</v>
      </c>
    </row>
    <row r="895" spans="2:2" x14ac:dyDescent="0.25">
      <c r="B895" t="s">
        <v>595</v>
      </c>
    </row>
    <row r="896" spans="2:2" x14ac:dyDescent="0.25">
      <c r="B896" t="s">
        <v>596</v>
      </c>
    </row>
    <row r="898" spans="2:2" x14ac:dyDescent="0.25">
      <c r="B898" t="s">
        <v>597</v>
      </c>
    </row>
    <row r="899" spans="2:2" x14ac:dyDescent="0.25">
      <c r="B899" t="e">
        <f ca="1" xml:space="preserve"> Ag(s) + HCl(aq), and the standard acidity constant of the ion _HSO4- in</f>
        <v>#NAME?</v>
      </c>
    </row>
    <row r="900" spans="2:2" x14ac:dyDescent="0.25">
      <c r="B900" t="s">
        <v>598</v>
      </c>
    </row>
    <row r="901" spans="2:2" x14ac:dyDescent="0.25">
      <c r="B901" t="s">
        <v>599</v>
      </c>
    </row>
    <row r="903" spans="2:2" x14ac:dyDescent="0.25">
      <c r="B903" t="s">
        <v>600</v>
      </c>
    </row>
    <row r="904" spans="2:2" x14ac:dyDescent="0.25">
      <c r="B904" t="s">
        <v>601</v>
      </c>
    </row>
    <row r="906" spans="2:2" x14ac:dyDescent="0.25">
      <c r="B906" t="s">
        <v>602</v>
      </c>
    </row>
    <row r="907" spans="2:2" x14ac:dyDescent="0.25">
      <c r="B907" t="s">
        <v>603</v>
      </c>
    </row>
    <row r="909" spans="2:2" x14ac:dyDescent="0.25">
      <c r="B909" t="s">
        <v>604</v>
      </c>
    </row>
    <row r="910" spans="2:2" x14ac:dyDescent="0.25">
      <c r="B910" t="s">
        <v>605</v>
      </c>
    </row>
    <row r="911" spans="2:2" x14ac:dyDescent="0.25">
      <c r="B911" t="s">
        <v>606</v>
      </c>
    </row>
    <row r="912" spans="2:2" x14ac:dyDescent="0.25">
      <c r="B912" t="s">
        <v>607</v>
      </c>
    </row>
    <row r="914" spans="2:2" x14ac:dyDescent="0.25">
      <c r="B914" t="s">
        <v>608</v>
      </c>
    </row>
    <row r="915" spans="2:2" x14ac:dyDescent="0.25">
      <c r="B915" t="s">
        <v>609</v>
      </c>
    </row>
    <row r="916" spans="2:2" x14ac:dyDescent="0.25">
      <c r="B916" t="s">
        <v>610</v>
      </c>
    </row>
    <row r="918" spans="2:2" x14ac:dyDescent="0.25">
      <c r="B918" t="s">
        <v>611</v>
      </c>
    </row>
    <row r="919" spans="2:2" x14ac:dyDescent="0.25">
      <c r="B919" t="s">
        <v>612</v>
      </c>
    </row>
    <row r="920" spans="2:2" x14ac:dyDescent="0.25">
      <c r="B920" t="s">
        <v>613</v>
      </c>
    </row>
    <row r="922" spans="2:2" x14ac:dyDescent="0.25">
      <c r="B922" t="s">
        <v>614</v>
      </c>
    </row>
    <row r="923" spans="2:2" x14ac:dyDescent="0.25">
      <c r="B923" t="s">
        <v>615</v>
      </c>
    </row>
    <row r="924" spans="2:2" x14ac:dyDescent="0.25">
      <c r="B924" t="s">
        <v>616</v>
      </c>
    </row>
    <row r="925" spans="2:2" x14ac:dyDescent="0.25">
      <c r="B925" t="s">
        <v>617</v>
      </c>
    </row>
    <row r="927" spans="2:2" x14ac:dyDescent="0.25">
      <c r="B927" t="s">
        <v>618</v>
      </c>
    </row>
    <row r="928" spans="2:2" x14ac:dyDescent="0.25">
      <c r="B928" t="s">
        <v>619</v>
      </c>
    </row>
    <row r="929" spans="2:2" x14ac:dyDescent="0.25">
      <c r="B929" t="s">
        <v>620</v>
      </c>
    </row>
    <row r="930" spans="2:2" x14ac:dyDescent="0.25">
      <c r="B930" t="s">
        <v>621</v>
      </c>
    </row>
    <row r="931" spans="2:2" x14ac:dyDescent="0.25">
      <c r="B931" t="s">
        <v>622</v>
      </c>
    </row>
    <row r="932" spans="2:2" x14ac:dyDescent="0.25">
      <c r="B932" t="s">
        <v>623</v>
      </c>
    </row>
    <row r="933" spans="2:2" x14ac:dyDescent="0.25">
      <c r="B933" t="s">
        <v>624</v>
      </c>
    </row>
    <row r="935" spans="2:2" x14ac:dyDescent="0.25">
      <c r="B935" t="s">
        <v>625</v>
      </c>
    </row>
    <row r="936" spans="2:2" x14ac:dyDescent="0.25">
      <c r="B936" t="s">
        <v>626</v>
      </c>
    </row>
    <row r="938" spans="2:2" x14ac:dyDescent="0.25">
      <c r="B938" t="s">
        <v>627</v>
      </c>
    </row>
    <row r="939" spans="2:2" x14ac:dyDescent="0.25">
      <c r="B939" t="s">
        <v>628</v>
      </c>
    </row>
    <row r="940" spans="2:2" x14ac:dyDescent="0.25">
      <c r="B940" t="s">
        <v>629</v>
      </c>
    </row>
    <row r="941" spans="2:2" x14ac:dyDescent="0.25">
      <c r="B941" t="s">
        <v>388</v>
      </c>
    </row>
    <row r="942" spans="2:2" x14ac:dyDescent="0.25">
      <c r="B942" t="s">
        <v>630</v>
      </c>
    </row>
    <row r="943" spans="2:2" x14ac:dyDescent="0.25">
      <c r="B943" t="s">
        <v>631</v>
      </c>
    </row>
    <row r="944" spans="2:2" x14ac:dyDescent="0.25">
      <c r="B944" t="s">
        <v>632</v>
      </c>
    </row>
    <row r="945" spans="2:2" x14ac:dyDescent="0.25">
      <c r="B945" t="s">
        <v>633</v>
      </c>
    </row>
    <row r="947" spans="2:2" x14ac:dyDescent="0.25">
      <c r="B947" t="s">
        <v>634</v>
      </c>
    </row>
    <row r="948" spans="2:2" x14ac:dyDescent="0.25">
      <c r="B948" t="s">
        <v>635</v>
      </c>
    </row>
    <row r="949" spans="2:2" x14ac:dyDescent="0.25">
      <c r="B949" t="s">
        <v>636</v>
      </c>
    </row>
    <row r="951" spans="2:2" x14ac:dyDescent="0.25">
      <c r="B951" t="s">
        <v>637</v>
      </c>
    </row>
    <row r="952" spans="2:2" x14ac:dyDescent="0.25">
      <c r="B952" t="s">
        <v>638</v>
      </c>
    </row>
    <row r="954" spans="2:2" x14ac:dyDescent="0.25">
      <c r="B954" t="s">
        <v>639</v>
      </c>
    </row>
    <row r="955" spans="2:2" x14ac:dyDescent="0.25">
      <c r="B955" t="s">
        <v>640</v>
      </c>
    </row>
    <row r="957" spans="2:2" x14ac:dyDescent="0.25">
      <c r="B957" t="s">
        <v>641</v>
      </c>
    </row>
    <row r="958" spans="2:2" x14ac:dyDescent="0.25">
      <c r="B958" t="s">
        <v>642</v>
      </c>
    </row>
    <row r="959" spans="2:2" x14ac:dyDescent="0.25">
      <c r="B959" t="s">
        <v>643</v>
      </c>
    </row>
    <row r="961" spans="2:2" x14ac:dyDescent="0.25">
      <c r="B961" t="s">
        <v>644</v>
      </c>
    </row>
    <row r="962" spans="2:2" x14ac:dyDescent="0.25">
      <c r="B962" t="s">
        <v>645</v>
      </c>
    </row>
    <row r="963" spans="2:2" x14ac:dyDescent="0.25">
      <c r="B963" t="s">
        <v>646</v>
      </c>
    </row>
    <row r="965" spans="2:2" x14ac:dyDescent="0.25">
      <c r="B965" t="s">
        <v>647</v>
      </c>
    </row>
    <row r="966" spans="2:2" x14ac:dyDescent="0.25">
      <c r="B966" t="s">
        <v>648</v>
      </c>
    </row>
    <row r="967" spans="2:2" x14ac:dyDescent="0.25">
      <c r="B967" t="s">
        <v>649</v>
      </c>
    </row>
    <row r="968" spans="2:2" x14ac:dyDescent="0.25">
      <c r="B968" t="s">
        <v>650</v>
      </c>
    </row>
    <row r="970" spans="2:2" x14ac:dyDescent="0.25">
      <c r="B970" s="70" t="s">
        <v>1139</v>
      </c>
    </row>
    <row r="971" spans="2:2" x14ac:dyDescent="0.25">
      <c r="B971" s="70" t="s">
        <v>1140</v>
      </c>
    </row>
    <row r="972" spans="2:2" x14ac:dyDescent="0.25">
      <c r="B972" s="70" t="s">
        <v>1141</v>
      </c>
    </row>
    <row r="974" spans="2:2" x14ac:dyDescent="0.25">
      <c r="B974" t="s">
        <v>651</v>
      </c>
    </row>
    <row r="975" spans="2:2" x14ac:dyDescent="0.25">
      <c r="B975" t="s">
        <v>652</v>
      </c>
    </row>
    <row r="977" spans="2:2" x14ac:dyDescent="0.25">
      <c r="B977" t="s">
        <v>653</v>
      </c>
    </row>
    <row r="978" spans="2:2" x14ac:dyDescent="0.25">
      <c r="B978" t="s">
        <v>654</v>
      </c>
    </row>
    <row r="980" spans="2:2" x14ac:dyDescent="0.25">
      <c r="B980" t="s">
        <v>655</v>
      </c>
    </row>
    <row r="981" spans="2:2" x14ac:dyDescent="0.25">
      <c r="B981" t="s">
        <v>656</v>
      </c>
    </row>
    <row r="982" spans="2:2" x14ac:dyDescent="0.25">
      <c r="B982" t="s">
        <v>657</v>
      </c>
    </row>
    <row r="984" spans="2:2" x14ac:dyDescent="0.25">
      <c r="B984" t="s">
        <v>658</v>
      </c>
    </row>
    <row r="985" spans="2:2" x14ac:dyDescent="0.25">
      <c r="B985" t="s">
        <v>659</v>
      </c>
    </row>
    <row r="987" spans="2:2" x14ac:dyDescent="0.25">
      <c r="B987" t="s">
        <v>660</v>
      </c>
    </row>
    <row r="988" spans="2:2" x14ac:dyDescent="0.25">
      <c r="B988" t="s">
        <v>661</v>
      </c>
    </row>
    <row r="989" spans="2:2" x14ac:dyDescent="0.25">
      <c r="B989" t="s">
        <v>662</v>
      </c>
    </row>
    <row r="991" spans="2:2" x14ac:dyDescent="0.25">
      <c r="B991" t="s">
        <v>663</v>
      </c>
    </row>
    <row r="992" spans="2:2" x14ac:dyDescent="0.25">
      <c r="B992" t="s">
        <v>664</v>
      </c>
    </row>
    <row r="994" spans="2:2" x14ac:dyDescent="0.25">
      <c r="B994" t="s">
        <v>665</v>
      </c>
    </row>
    <row r="995" spans="2:2" x14ac:dyDescent="0.25">
      <c r="B995" t="s">
        <v>666</v>
      </c>
    </row>
    <row r="997" spans="2:2" x14ac:dyDescent="0.25">
      <c r="B997" t="s">
        <v>667</v>
      </c>
    </row>
    <row r="998" spans="2:2" x14ac:dyDescent="0.25">
      <c r="B998" t="s">
        <v>668</v>
      </c>
    </row>
    <row r="999" spans="2:2" x14ac:dyDescent="0.25">
      <c r="B999" t="s">
        <v>669</v>
      </c>
    </row>
    <row r="1001" spans="2:2" x14ac:dyDescent="0.25">
      <c r="B1001" t="s">
        <v>207</v>
      </c>
    </row>
    <row r="1002" spans="2:2" x14ac:dyDescent="0.25">
      <c r="B1002" t="s">
        <v>208</v>
      </c>
    </row>
    <row r="1003" spans="2:2" x14ac:dyDescent="0.25">
      <c r="B1003" t="s">
        <v>209</v>
      </c>
    </row>
    <row r="1005" spans="2:2" x14ac:dyDescent="0.25">
      <c r="B1005" t="s">
        <v>670</v>
      </c>
    </row>
    <row r="1006" spans="2:2" x14ac:dyDescent="0.25">
      <c r="B1006" t="s">
        <v>671</v>
      </c>
    </row>
    <row r="1008" spans="2:2" x14ac:dyDescent="0.25">
      <c r="B1008" t="s">
        <v>672</v>
      </c>
    </row>
    <row r="1009" spans="2:2" x14ac:dyDescent="0.25">
      <c r="B1009" t="s">
        <v>673</v>
      </c>
    </row>
    <row r="1010" spans="2:2" x14ac:dyDescent="0.25">
      <c r="B1010" t="s">
        <v>674</v>
      </c>
    </row>
    <row r="1012" spans="2:2" x14ac:dyDescent="0.25">
      <c r="B1012" t="s">
        <v>675</v>
      </c>
    </row>
    <row r="1013" spans="2:2" x14ac:dyDescent="0.25">
      <c r="B1013" t="s">
        <v>676</v>
      </c>
    </row>
    <row r="1015" spans="2:2" x14ac:dyDescent="0.25">
      <c r="B1015" s="70" t="s">
        <v>1142</v>
      </c>
    </row>
    <row r="1016" spans="2:2" x14ac:dyDescent="0.25">
      <c r="B1016" s="70" t="s">
        <v>1143</v>
      </c>
    </row>
    <row r="1017" spans="2:2" x14ac:dyDescent="0.25">
      <c r="B1017" t="s">
        <v>1144</v>
      </c>
    </row>
    <row r="1018" spans="2:2" x14ac:dyDescent="0.25">
      <c r="B1018" t="s">
        <v>1145</v>
      </c>
    </row>
    <row r="1020" spans="2:2" x14ac:dyDescent="0.25">
      <c r="B1020" t="s">
        <v>1220</v>
      </c>
    </row>
    <row r="1021" spans="2:2" x14ac:dyDescent="0.25">
      <c r="B1021" t="s">
        <v>1221</v>
      </c>
    </row>
    <row r="1022" spans="2:2" x14ac:dyDescent="0.25">
      <c r="B1022" t="s">
        <v>1222</v>
      </c>
    </row>
    <row r="1023" spans="2:2" x14ac:dyDescent="0.25">
      <c r="B1023" t="s">
        <v>1223</v>
      </c>
    </row>
    <row r="1025" spans="2:2" x14ac:dyDescent="0.25">
      <c r="B1025" t="s">
        <v>677</v>
      </c>
    </row>
    <row r="1026" spans="2:2" x14ac:dyDescent="0.25">
      <c r="B1026" t="s">
        <v>678</v>
      </c>
    </row>
    <row r="1028" spans="2:2" x14ac:dyDescent="0.25">
      <c r="B1028" t="s">
        <v>679</v>
      </c>
    </row>
    <row r="1029" spans="2:2" x14ac:dyDescent="0.25">
      <c r="B1029" t="s">
        <v>680</v>
      </c>
    </row>
    <row r="1030" spans="2:2" x14ac:dyDescent="0.25">
      <c r="B1030" t="s">
        <v>100</v>
      </c>
    </row>
    <row r="1032" spans="2:2" x14ac:dyDescent="0.25">
      <c r="B1032" t="s">
        <v>101</v>
      </c>
    </row>
    <row r="1033" spans="2:2" x14ac:dyDescent="0.25">
      <c r="B1033" t="s">
        <v>102</v>
      </c>
    </row>
    <row r="1035" spans="2:2" x14ac:dyDescent="0.25">
      <c r="B1035" t="s">
        <v>103</v>
      </c>
    </row>
    <row r="1036" spans="2:2" x14ac:dyDescent="0.25">
      <c r="B1036" t="s">
        <v>104</v>
      </c>
    </row>
    <row r="1038" spans="2:2" x14ac:dyDescent="0.25">
      <c r="B1038" t="s">
        <v>105</v>
      </c>
    </row>
    <row r="1039" spans="2:2" x14ac:dyDescent="0.25">
      <c r="B1039" t="s">
        <v>106</v>
      </c>
    </row>
    <row r="1040" spans="2:2" x14ac:dyDescent="0.25">
      <c r="B1040" t="s">
        <v>107</v>
      </c>
    </row>
    <row r="1041" spans="2:2" x14ac:dyDescent="0.25">
      <c r="B1041" t="s">
        <v>108</v>
      </c>
    </row>
    <row r="1042" spans="2:2" x14ac:dyDescent="0.25">
      <c r="B1042" t="s">
        <v>109</v>
      </c>
    </row>
    <row r="1043" spans="2:2" x14ac:dyDescent="0.25">
      <c r="B1043" t="s">
        <v>110</v>
      </c>
    </row>
    <row r="1045" spans="2:2" x14ac:dyDescent="0.25">
      <c r="B1045" t="s">
        <v>701</v>
      </c>
    </row>
    <row r="1046" spans="2:2" x14ac:dyDescent="0.25">
      <c r="B1046" t="s">
        <v>702</v>
      </c>
    </row>
    <row r="1047" spans="2:2" x14ac:dyDescent="0.25">
      <c r="B1047" t="s">
        <v>703</v>
      </c>
    </row>
    <row r="1048" spans="2:2" x14ac:dyDescent="0.25">
      <c r="B1048" t="s">
        <v>704</v>
      </c>
    </row>
    <row r="1050" spans="2:2" x14ac:dyDescent="0.25">
      <c r="B1050" t="s">
        <v>705</v>
      </c>
    </row>
    <row r="1051" spans="2:2" x14ac:dyDescent="0.25">
      <c r="B1051" t="s">
        <v>706</v>
      </c>
    </row>
    <row r="1052" spans="2:2" x14ac:dyDescent="0.25">
      <c r="B1052" t="s">
        <v>636</v>
      </c>
    </row>
    <row r="1054" spans="2:2" x14ac:dyDescent="0.25">
      <c r="B1054" t="s">
        <v>707</v>
      </c>
    </row>
    <row r="1055" spans="2:2" x14ac:dyDescent="0.25">
      <c r="B1055" t="s">
        <v>708</v>
      </c>
    </row>
    <row r="1056" spans="2:2" x14ac:dyDescent="0.25">
      <c r="B1056" t="s">
        <v>709</v>
      </c>
    </row>
    <row r="1057" spans="2:2" x14ac:dyDescent="0.25">
      <c r="B1057" t="s">
        <v>710</v>
      </c>
    </row>
    <row r="1059" spans="2:2" x14ac:dyDescent="0.25">
      <c r="B1059" t="s">
        <v>711</v>
      </c>
    </row>
    <row r="1060" spans="2:2" x14ac:dyDescent="0.25">
      <c r="B1060" t="s">
        <v>712</v>
      </c>
    </row>
    <row r="1062" spans="2:2" x14ac:dyDescent="0.25">
      <c r="B1062" t="s">
        <v>1205</v>
      </c>
    </row>
    <row r="1063" spans="2:2" x14ac:dyDescent="0.25">
      <c r="B1063" t="s">
        <v>1206</v>
      </c>
    </row>
    <row r="1064" spans="2:2" x14ac:dyDescent="0.25">
      <c r="B1064" t="s">
        <v>1207</v>
      </c>
    </row>
    <row r="1065" spans="2:2" x14ac:dyDescent="0.25">
      <c r="B1065" t="s">
        <v>1208</v>
      </c>
    </row>
    <row r="1066" spans="2:2" x14ac:dyDescent="0.25">
      <c r="B1066" t="s">
        <v>1209</v>
      </c>
    </row>
    <row r="1068" spans="2:2" x14ac:dyDescent="0.25">
      <c r="B1068" t="s">
        <v>713</v>
      </c>
    </row>
    <row r="1069" spans="2:2" x14ac:dyDescent="0.25">
      <c r="B1069" t="s">
        <v>714</v>
      </c>
    </row>
    <row r="1071" spans="2:2" x14ac:dyDescent="0.25">
      <c r="B1071" t="s">
        <v>715</v>
      </c>
    </row>
    <row r="1072" spans="2:2" x14ac:dyDescent="0.25">
      <c r="B1072" t="s">
        <v>716</v>
      </c>
    </row>
    <row r="1074" spans="2:2" x14ac:dyDescent="0.25">
      <c r="B1074" t="s">
        <v>717</v>
      </c>
    </row>
    <row r="1076" spans="2:2" x14ac:dyDescent="0.25">
      <c r="B1076" t="s">
        <v>718</v>
      </c>
    </row>
    <row r="1077" spans="2:2" x14ac:dyDescent="0.25">
      <c r="B1077" t="s">
        <v>719</v>
      </c>
    </row>
    <row r="1078" spans="2:2" x14ac:dyDescent="0.25">
      <c r="B1078" t="s">
        <v>720</v>
      </c>
    </row>
    <row r="1079" spans="2:2" x14ac:dyDescent="0.25">
      <c r="B1079" t="s">
        <v>721</v>
      </c>
    </row>
    <row r="1080" spans="2:2" x14ac:dyDescent="0.25">
      <c r="B1080" t="s">
        <v>722</v>
      </c>
    </row>
    <row r="1082" spans="2:2" x14ac:dyDescent="0.25">
      <c r="B1082" t="s">
        <v>723</v>
      </c>
    </row>
    <row r="1084" spans="2:2" x14ac:dyDescent="0.25">
      <c r="B1084" t="s">
        <v>724</v>
      </c>
    </row>
    <row r="1086" spans="2:2" x14ac:dyDescent="0.25">
      <c r="B1086" t="s">
        <v>725</v>
      </c>
    </row>
    <row r="1087" spans="2:2" x14ac:dyDescent="0.25">
      <c r="B1087" t="s">
        <v>726</v>
      </c>
    </row>
    <row r="1088" spans="2:2" x14ac:dyDescent="0.25">
      <c r="B1088" t="s">
        <v>727</v>
      </c>
    </row>
    <row r="1089" spans="2:2" x14ac:dyDescent="0.25">
      <c r="B1089" t="s">
        <v>728</v>
      </c>
    </row>
    <row r="1091" spans="2:2" x14ac:dyDescent="0.25">
      <c r="B1091" t="s">
        <v>729</v>
      </c>
    </row>
    <row r="1093" spans="2:2" x14ac:dyDescent="0.25">
      <c r="B1093" t="s">
        <v>724</v>
      </c>
    </row>
    <row r="1095" spans="2:2" x14ac:dyDescent="0.25">
      <c r="B1095" t="s">
        <v>730</v>
      </c>
    </row>
    <row r="1096" spans="2:2" x14ac:dyDescent="0.25">
      <c r="B1096" t="s">
        <v>731</v>
      </c>
    </row>
    <row r="1097" spans="2:2" x14ac:dyDescent="0.25">
      <c r="B1097" t="s">
        <v>732</v>
      </c>
    </row>
    <row r="1098" spans="2:2" x14ac:dyDescent="0.25">
      <c r="B1098" t="s">
        <v>733</v>
      </c>
    </row>
    <row r="1100" spans="2:2" x14ac:dyDescent="0.25">
      <c r="B1100" t="s">
        <v>734</v>
      </c>
    </row>
    <row r="1101" spans="2:2" x14ac:dyDescent="0.25">
      <c r="B1101" t="s">
        <v>735</v>
      </c>
    </row>
    <row r="1102" spans="2:2" x14ac:dyDescent="0.25">
      <c r="B1102" t="s">
        <v>736</v>
      </c>
    </row>
    <row r="1103" spans="2:2" x14ac:dyDescent="0.25">
      <c r="B1103" t="s">
        <v>737</v>
      </c>
    </row>
    <row r="1104" spans="2:2" x14ac:dyDescent="0.25">
      <c r="B1104" t="s">
        <v>738</v>
      </c>
    </row>
    <row r="1105" spans="2:2" x14ac:dyDescent="0.25">
      <c r="B1105" t="s">
        <v>739</v>
      </c>
    </row>
    <row r="1106" spans="2:2" x14ac:dyDescent="0.25">
      <c r="B1106" t="s">
        <v>740</v>
      </c>
    </row>
    <row r="1107" spans="2:2" x14ac:dyDescent="0.25">
      <c r="B1107" t="s">
        <v>741</v>
      </c>
    </row>
    <row r="1108" spans="2:2" x14ac:dyDescent="0.25">
      <c r="B1108" t="s">
        <v>742</v>
      </c>
    </row>
    <row r="1110" spans="2:2" x14ac:dyDescent="0.25">
      <c r="B1110" t="s">
        <v>724</v>
      </c>
    </row>
    <row r="1112" spans="2:2" x14ac:dyDescent="0.25">
      <c r="B1112" t="s">
        <v>743</v>
      </c>
    </row>
    <row r="1113" spans="2:2" x14ac:dyDescent="0.25">
      <c r="B1113" t="s">
        <v>744</v>
      </c>
    </row>
    <row r="1114" spans="2:2" x14ac:dyDescent="0.25">
      <c r="B1114" t="s">
        <v>745</v>
      </c>
    </row>
    <row r="1116" spans="2:2" x14ac:dyDescent="0.25">
      <c r="B1116" t="s">
        <v>746</v>
      </c>
    </row>
    <row r="1118" spans="2:2" x14ac:dyDescent="0.25">
      <c r="B1118" t="s">
        <v>724</v>
      </c>
    </row>
    <row r="1120" spans="2:2" x14ac:dyDescent="0.25">
      <c r="B1120" t="s">
        <v>747</v>
      </c>
    </row>
    <row r="1121" spans="2:2" x14ac:dyDescent="0.25">
      <c r="B1121" t="s">
        <v>748</v>
      </c>
    </row>
    <row r="1122" spans="2:2" x14ac:dyDescent="0.25">
      <c r="B1122" t="s">
        <v>749</v>
      </c>
    </row>
    <row r="1123" spans="2:2" x14ac:dyDescent="0.25">
      <c r="B1123" t="s">
        <v>750</v>
      </c>
    </row>
    <row r="1125" spans="2:2" x14ac:dyDescent="0.25">
      <c r="B1125" t="s">
        <v>751</v>
      </c>
    </row>
    <row r="1126" spans="2:2" x14ac:dyDescent="0.25">
      <c r="B1126" t="s">
        <v>752</v>
      </c>
    </row>
    <row r="1127" spans="2:2" x14ac:dyDescent="0.25">
      <c r="B1127" t="s">
        <v>753</v>
      </c>
    </row>
    <row r="1129" spans="2:2" x14ac:dyDescent="0.25">
      <c r="B1129" t="s">
        <v>724</v>
      </c>
    </row>
    <row r="1131" spans="2:2" x14ac:dyDescent="0.25">
      <c r="B1131" t="s">
        <v>597</v>
      </c>
    </row>
    <row r="1132" spans="2:2" x14ac:dyDescent="0.25">
      <c r="B1132" t="e">
        <f ca="1" xml:space="preserve"> Ag(s) + HCl(aq), and the standard acidity constant of the ion _HSO4- in</f>
        <v>#NAME?</v>
      </c>
    </row>
    <row r="1133" spans="2:2" x14ac:dyDescent="0.25">
      <c r="B1133" t="s">
        <v>754</v>
      </c>
    </row>
    <row r="1134" spans="2:2" x14ac:dyDescent="0.25">
      <c r="B1134" t="s">
        <v>599</v>
      </c>
    </row>
    <row r="1136" spans="2:2" x14ac:dyDescent="0.25">
      <c r="B1136" t="s">
        <v>755</v>
      </c>
    </row>
    <row r="1137" spans="2:2" x14ac:dyDescent="0.25">
      <c r="B1137" t="s">
        <v>756</v>
      </c>
    </row>
    <row r="1139" spans="2:2" x14ac:dyDescent="0.25">
      <c r="B1139" t="s">
        <v>724</v>
      </c>
    </row>
    <row r="1141" spans="2:2" x14ac:dyDescent="0.25">
      <c r="B1141" t="s">
        <v>600</v>
      </c>
    </row>
    <row r="1142" spans="2:2" x14ac:dyDescent="0.25">
      <c r="B1142" t="s">
        <v>601</v>
      </c>
    </row>
    <row r="1144" spans="2:2" x14ac:dyDescent="0.25">
      <c r="B1144" t="s">
        <v>757</v>
      </c>
    </row>
    <row r="1145" spans="2:2" x14ac:dyDescent="0.25">
      <c r="B1145" t="s">
        <v>758</v>
      </c>
    </row>
    <row r="1146" spans="2:2" x14ac:dyDescent="0.25">
      <c r="B1146" t="s">
        <v>759</v>
      </c>
    </row>
    <row r="1148" spans="2:2" x14ac:dyDescent="0.25">
      <c r="B1148" t="s">
        <v>724</v>
      </c>
    </row>
    <row r="1150" spans="2:2" x14ac:dyDescent="0.25">
      <c r="B1150" t="s">
        <v>604</v>
      </c>
    </row>
    <row r="1151" spans="2:2" x14ac:dyDescent="0.25">
      <c r="B1151" t="s">
        <v>605</v>
      </c>
    </row>
    <row r="1152" spans="2:2" x14ac:dyDescent="0.25">
      <c r="B1152" t="s">
        <v>606</v>
      </c>
    </row>
    <row r="1154" spans="2:2" x14ac:dyDescent="0.25">
      <c r="B1154" t="s">
        <v>760</v>
      </c>
    </row>
    <row r="1155" spans="2:2" x14ac:dyDescent="0.25">
      <c r="B1155" t="s">
        <v>761</v>
      </c>
    </row>
    <row r="1156" spans="2:2" x14ac:dyDescent="0.25">
      <c r="B1156" t="s">
        <v>762</v>
      </c>
    </row>
    <row r="1157" spans="2:2" x14ac:dyDescent="0.25">
      <c r="B1157" t="s">
        <v>763</v>
      </c>
    </row>
    <row r="1158" spans="2:2" x14ac:dyDescent="0.25">
      <c r="B1158" t="s">
        <v>764</v>
      </c>
    </row>
    <row r="1159" spans="2:2" x14ac:dyDescent="0.25">
      <c r="B1159" t="s">
        <v>765</v>
      </c>
    </row>
    <row r="1160" spans="2:2" x14ac:dyDescent="0.25">
      <c r="B1160" t="s">
        <v>766</v>
      </c>
    </row>
    <row r="1161" spans="2:2" x14ac:dyDescent="0.25">
      <c r="B1161" t="s">
        <v>767</v>
      </c>
    </row>
    <row r="1163" spans="2:2" x14ac:dyDescent="0.25">
      <c r="B1163" t="s">
        <v>724</v>
      </c>
    </row>
    <row r="1165" spans="2:2" x14ac:dyDescent="0.25">
      <c r="B1165" t="s">
        <v>768</v>
      </c>
    </row>
    <row r="1166" spans="2:2" x14ac:dyDescent="0.25">
      <c r="B1166" t="s">
        <v>612</v>
      </c>
    </row>
    <row r="1167" spans="2:2" x14ac:dyDescent="0.25">
      <c r="B1167" t="s">
        <v>613</v>
      </c>
    </row>
    <row r="1169" spans="2:2" x14ac:dyDescent="0.25">
      <c r="B1169" t="s">
        <v>769</v>
      </c>
    </row>
    <row r="1171" spans="2:2" x14ac:dyDescent="0.25">
      <c r="B1171" t="s">
        <v>724</v>
      </c>
    </row>
    <row r="1173" spans="2:2" x14ac:dyDescent="0.25">
      <c r="B1173" t="s">
        <v>770</v>
      </c>
    </row>
    <row r="1174" spans="2:2" x14ac:dyDescent="0.25">
      <c r="B1174" t="s">
        <v>612</v>
      </c>
    </row>
    <row r="1175" spans="2:2" x14ac:dyDescent="0.25">
      <c r="B1175" t="s">
        <v>771</v>
      </c>
    </row>
    <row r="1177" spans="2:2" x14ac:dyDescent="0.25">
      <c r="B1177" t="s">
        <v>772</v>
      </c>
    </row>
    <row r="1178" spans="2:2" x14ac:dyDescent="0.25">
      <c r="B1178" t="s">
        <v>773</v>
      </c>
    </row>
    <row r="1179" spans="2:2" x14ac:dyDescent="0.25">
      <c r="B1179" t="s">
        <v>774</v>
      </c>
    </row>
    <row r="1181" spans="2:2" x14ac:dyDescent="0.25">
      <c r="B1181" t="s">
        <v>724</v>
      </c>
    </row>
    <row r="1183" spans="2:2" x14ac:dyDescent="0.25">
      <c r="B1183" t="s">
        <v>775</v>
      </c>
    </row>
    <row r="1184" spans="2:2" x14ac:dyDescent="0.25">
      <c r="B1184" t="s">
        <v>776</v>
      </c>
    </row>
    <row r="1185" spans="2:2" x14ac:dyDescent="0.25">
      <c r="B1185" t="s">
        <v>777</v>
      </c>
    </row>
    <row r="1187" spans="2:2" x14ac:dyDescent="0.25">
      <c r="B1187" t="s">
        <v>778</v>
      </c>
    </row>
    <row r="1188" spans="2:2" x14ac:dyDescent="0.25">
      <c r="B1188" t="s">
        <v>779</v>
      </c>
    </row>
    <row r="1189" spans="2:2" x14ac:dyDescent="0.25">
      <c r="B1189" t="s">
        <v>780</v>
      </c>
    </row>
    <row r="1190" spans="2:2" x14ac:dyDescent="0.25">
      <c r="B1190" t="s">
        <v>781</v>
      </c>
    </row>
    <row r="1192" spans="2:2" x14ac:dyDescent="0.25">
      <c r="B1192" t="s">
        <v>724</v>
      </c>
    </row>
    <row r="1194" spans="2:2" x14ac:dyDescent="0.25">
      <c r="B1194" t="s">
        <v>622</v>
      </c>
    </row>
    <row r="1195" spans="2:2" x14ac:dyDescent="0.25">
      <c r="B1195" t="s">
        <v>623</v>
      </c>
    </row>
    <row r="1196" spans="2:2" x14ac:dyDescent="0.25">
      <c r="B1196" t="s">
        <v>624</v>
      </c>
    </row>
    <row r="1198" spans="2:2" x14ac:dyDescent="0.25">
      <c r="B1198" t="s">
        <v>782</v>
      </c>
    </row>
    <row r="1199" spans="2:2" x14ac:dyDescent="0.25">
      <c r="B1199" t="s">
        <v>783</v>
      </c>
    </row>
    <row r="1200" spans="2:2" x14ac:dyDescent="0.25">
      <c r="B1200" t="s">
        <v>784</v>
      </c>
    </row>
    <row r="1202" spans="2:2" x14ac:dyDescent="0.25">
      <c r="B1202" t="s">
        <v>724</v>
      </c>
    </row>
    <row r="1204" spans="2:2" x14ac:dyDescent="0.25">
      <c r="B1204" t="s">
        <v>625</v>
      </c>
    </row>
    <row r="1205" spans="2:2" x14ac:dyDescent="0.25">
      <c r="B1205" t="s">
        <v>785</v>
      </c>
    </row>
    <row r="1207" spans="2:2" x14ac:dyDescent="0.25">
      <c r="B1207" t="s">
        <v>786</v>
      </c>
    </row>
    <row r="1208" spans="2:2" x14ac:dyDescent="0.25">
      <c r="B1208" t="s">
        <v>787</v>
      </c>
    </row>
    <row r="1210" spans="2:2" x14ac:dyDescent="0.25">
      <c r="B1210" t="s">
        <v>724</v>
      </c>
    </row>
    <row r="1212" spans="2:2" x14ac:dyDescent="0.25">
      <c r="B1212" t="s">
        <v>788</v>
      </c>
    </row>
    <row r="1213" spans="2:2" x14ac:dyDescent="0.25">
      <c r="B1213" t="s">
        <v>789</v>
      </c>
    </row>
    <row r="1215" spans="2:2" x14ac:dyDescent="0.25">
      <c r="B1215" t="s">
        <v>790</v>
      </c>
    </row>
    <row r="1216" spans="2:2" x14ac:dyDescent="0.25">
      <c r="B1216" t="s">
        <v>791</v>
      </c>
    </row>
    <row r="1217" spans="2:2" x14ac:dyDescent="0.25">
      <c r="B1217" t="s">
        <v>792</v>
      </c>
    </row>
    <row r="1218" spans="2:2" x14ac:dyDescent="0.25">
      <c r="B1218" t="s">
        <v>793</v>
      </c>
    </row>
    <row r="1219" spans="2:2" x14ac:dyDescent="0.25">
      <c r="B1219" t="s">
        <v>794</v>
      </c>
    </row>
    <row r="1220" spans="2:2" x14ac:dyDescent="0.25">
      <c r="B1220" t="s">
        <v>795</v>
      </c>
    </row>
    <row r="1221" spans="2:2" x14ac:dyDescent="0.25">
      <c r="B1221" t="s">
        <v>796</v>
      </c>
    </row>
    <row r="1222" spans="2:2" x14ac:dyDescent="0.25">
      <c r="B1222" t="s">
        <v>797</v>
      </c>
    </row>
    <row r="1223" spans="2:2" x14ac:dyDescent="0.25">
      <c r="B1223" t="s">
        <v>798</v>
      </c>
    </row>
    <row r="1224" spans="2:2" x14ac:dyDescent="0.25">
      <c r="B1224" t="s">
        <v>799</v>
      </c>
    </row>
    <row r="1225" spans="2:2" x14ac:dyDescent="0.25">
      <c r="B1225" t="s">
        <v>800</v>
      </c>
    </row>
    <row r="1226" spans="2:2" x14ac:dyDescent="0.25">
      <c r="B1226" t="s">
        <v>422</v>
      </c>
    </row>
    <row r="1227" spans="2:2" x14ac:dyDescent="0.25">
      <c r="B1227" t="s">
        <v>423</v>
      </c>
    </row>
    <row r="1228" spans="2:2" x14ac:dyDescent="0.25">
      <c r="B1228" t="s">
        <v>424</v>
      </c>
    </row>
    <row r="1229" spans="2:2" x14ac:dyDescent="0.25">
      <c r="B1229" t="s">
        <v>425</v>
      </c>
    </row>
    <row r="1230" spans="2:2" x14ac:dyDescent="0.25">
      <c r="B1230" t="s">
        <v>791</v>
      </c>
    </row>
    <row r="1232" spans="2:2" x14ac:dyDescent="0.25">
      <c r="B1232" t="s">
        <v>724</v>
      </c>
    </row>
    <row r="1234" spans="2:2" x14ac:dyDescent="0.25">
      <c r="B1234" t="s">
        <v>655</v>
      </c>
    </row>
    <row r="1235" spans="2:2" x14ac:dyDescent="0.25">
      <c r="B1235" t="s">
        <v>656</v>
      </c>
    </row>
    <row r="1236" spans="2:2" x14ac:dyDescent="0.25">
      <c r="B1236" t="s">
        <v>657</v>
      </c>
    </row>
    <row r="1238" spans="2:2" x14ac:dyDescent="0.25">
      <c r="B1238" t="s">
        <v>426</v>
      </c>
    </row>
    <row r="1240" spans="2:2" x14ac:dyDescent="0.25">
      <c r="B1240" t="s">
        <v>724</v>
      </c>
    </row>
    <row r="1242" spans="2:2" x14ac:dyDescent="0.25">
      <c r="B1242" t="s">
        <v>427</v>
      </c>
    </row>
    <row r="1243" spans="2:2" x14ac:dyDescent="0.25">
      <c r="B1243" t="s">
        <v>659</v>
      </c>
    </row>
    <row r="1245" spans="2:2" x14ac:dyDescent="0.25">
      <c r="B1245" t="s">
        <v>428</v>
      </c>
    </row>
    <row r="1247" spans="2:2" x14ac:dyDescent="0.25">
      <c r="B1247" t="s">
        <v>724</v>
      </c>
    </row>
    <row r="1249" spans="2:2" x14ac:dyDescent="0.25">
      <c r="B1249" t="s">
        <v>660</v>
      </c>
    </row>
    <row r="1250" spans="2:2" x14ac:dyDescent="0.25">
      <c r="B1250" t="s">
        <v>429</v>
      </c>
    </row>
    <row r="1251" spans="2:2" x14ac:dyDescent="0.25">
      <c r="B1251" t="s">
        <v>662</v>
      </c>
    </row>
    <row r="1253" spans="2:2" x14ac:dyDescent="0.25">
      <c r="B1253" t="s">
        <v>430</v>
      </c>
    </row>
    <row r="1255" spans="2:2" x14ac:dyDescent="0.25">
      <c r="B1255" t="s">
        <v>431</v>
      </c>
    </row>
    <row r="1256" spans="2:2" x14ac:dyDescent="0.25">
      <c r="B1256" t="s">
        <v>432</v>
      </c>
    </row>
    <row r="1258" spans="2:2" x14ac:dyDescent="0.25">
      <c r="B1258" t="s">
        <v>724</v>
      </c>
    </row>
    <row r="1260" spans="2:2" x14ac:dyDescent="0.25">
      <c r="B1260" t="s">
        <v>663</v>
      </c>
    </row>
    <row r="1261" spans="2:2" x14ac:dyDescent="0.25">
      <c r="B1261" t="s">
        <v>664</v>
      </c>
    </row>
    <row r="1263" spans="2:2" x14ac:dyDescent="0.25">
      <c r="B1263" t="s">
        <v>433</v>
      </c>
    </row>
    <row r="1264" spans="2:2" x14ac:dyDescent="0.25">
      <c r="B1264" t="s">
        <v>434</v>
      </c>
    </row>
    <row r="1265" spans="2:2" x14ac:dyDescent="0.25">
      <c r="B1265" t="s">
        <v>435</v>
      </c>
    </row>
    <row r="1266" spans="2:2" x14ac:dyDescent="0.25">
      <c r="B1266" t="s">
        <v>436</v>
      </c>
    </row>
    <row r="1267" spans="2:2" x14ac:dyDescent="0.25">
      <c r="B1267" t="s">
        <v>437</v>
      </c>
    </row>
    <row r="1268" spans="2:2" x14ac:dyDescent="0.25">
      <c r="B1268" t="s">
        <v>438</v>
      </c>
    </row>
    <row r="1269" spans="2:2" x14ac:dyDescent="0.25">
      <c r="B1269" t="s">
        <v>439</v>
      </c>
    </row>
    <row r="1270" spans="2:2" x14ac:dyDescent="0.25">
      <c r="B1270" t="s">
        <v>440</v>
      </c>
    </row>
    <row r="1271" spans="2:2" x14ac:dyDescent="0.25">
      <c r="B1271" t="s">
        <v>441</v>
      </c>
    </row>
    <row r="1272" spans="2:2" x14ac:dyDescent="0.25">
      <c r="B1272" t="s">
        <v>442</v>
      </c>
    </row>
    <row r="1273" spans="2:2" x14ac:dyDescent="0.25">
      <c r="B1273" t="s">
        <v>443</v>
      </c>
    </row>
    <row r="1274" spans="2:2" x14ac:dyDescent="0.25">
      <c r="B1274" t="s">
        <v>444</v>
      </c>
    </row>
    <row r="1275" spans="2:2" x14ac:dyDescent="0.25">
      <c r="B1275" t="s">
        <v>445</v>
      </c>
    </row>
    <row r="1276" spans="2:2" x14ac:dyDescent="0.25">
      <c r="B1276" t="s">
        <v>446</v>
      </c>
    </row>
    <row r="1277" spans="2:2" x14ac:dyDescent="0.25">
      <c r="B1277" t="s">
        <v>827</v>
      </c>
    </row>
    <row r="1278" spans="2:2" x14ac:dyDescent="0.25">
      <c r="B1278" t="s">
        <v>828</v>
      </c>
    </row>
    <row r="1279" spans="2:2" x14ac:dyDescent="0.25">
      <c r="B1279" t="s">
        <v>829</v>
      </c>
    </row>
    <row r="1280" spans="2:2" x14ac:dyDescent="0.25">
      <c r="B1280" t="s">
        <v>830</v>
      </c>
    </row>
    <row r="1281" spans="2:2" x14ac:dyDescent="0.25">
      <c r="B1281" t="s">
        <v>831</v>
      </c>
    </row>
    <row r="1282" spans="2:2" x14ac:dyDescent="0.25">
      <c r="B1282" t="s">
        <v>832</v>
      </c>
    </row>
    <row r="1283" spans="2:2" x14ac:dyDescent="0.25">
      <c r="B1283" t="s">
        <v>833</v>
      </c>
    </row>
    <row r="1284" spans="2:2" x14ac:dyDescent="0.25">
      <c r="B1284" t="s">
        <v>834</v>
      </c>
    </row>
    <row r="1285" spans="2:2" x14ac:dyDescent="0.25">
      <c r="B1285" t="s">
        <v>835</v>
      </c>
    </row>
    <row r="1286" spans="2:2" x14ac:dyDescent="0.25">
      <c r="B1286" t="s">
        <v>836</v>
      </c>
    </row>
    <row r="1287" spans="2:2" x14ac:dyDescent="0.25">
      <c r="B1287" t="s">
        <v>837</v>
      </c>
    </row>
    <row r="1288" spans="2:2" x14ac:dyDescent="0.25">
      <c r="B1288" t="s">
        <v>838</v>
      </c>
    </row>
    <row r="1289" spans="2:2" x14ac:dyDescent="0.25">
      <c r="B1289" t="s">
        <v>839</v>
      </c>
    </row>
    <row r="1290" spans="2:2" x14ac:dyDescent="0.25">
      <c r="B1290" t="s">
        <v>840</v>
      </c>
    </row>
    <row r="1291" spans="2:2" x14ac:dyDescent="0.25">
      <c r="B1291" t="s">
        <v>841</v>
      </c>
    </row>
    <row r="1292" spans="2:2" x14ac:dyDescent="0.25">
      <c r="B1292" t="s">
        <v>842</v>
      </c>
    </row>
    <row r="1293" spans="2:2" x14ac:dyDescent="0.25">
      <c r="B1293" t="s">
        <v>843</v>
      </c>
    </row>
    <row r="1294" spans="2:2" x14ac:dyDescent="0.25">
      <c r="B1294" t="s">
        <v>844</v>
      </c>
    </row>
    <row r="1295" spans="2:2" x14ac:dyDescent="0.25">
      <c r="B1295" t="s">
        <v>845</v>
      </c>
    </row>
    <row r="1296" spans="2:2" x14ac:dyDescent="0.25">
      <c r="B1296" t="s">
        <v>846</v>
      </c>
    </row>
    <row r="1297" spans="2:2" x14ac:dyDescent="0.25">
      <c r="B1297" t="s">
        <v>847</v>
      </c>
    </row>
    <row r="1298" spans="2:2" x14ac:dyDescent="0.25">
      <c r="B1298" t="s">
        <v>848</v>
      </c>
    </row>
    <row r="1299" spans="2:2" x14ac:dyDescent="0.25">
      <c r="B1299" t="s">
        <v>849</v>
      </c>
    </row>
    <row r="1300" spans="2:2" x14ac:dyDescent="0.25">
      <c r="B1300" t="s">
        <v>850</v>
      </c>
    </row>
    <row r="1301" spans="2:2" x14ac:dyDescent="0.25">
      <c r="B1301" t="s">
        <v>851</v>
      </c>
    </row>
    <row r="1302" spans="2:2" x14ac:dyDescent="0.25">
      <c r="B1302" t="s">
        <v>852</v>
      </c>
    </row>
    <row r="1303" spans="2:2" x14ac:dyDescent="0.25">
      <c r="B1303" t="s">
        <v>853</v>
      </c>
    </row>
    <row r="1304" spans="2:2" x14ac:dyDescent="0.25">
      <c r="B1304" t="s">
        <v>854</v>
      </c>
    </row>
    <row r="1305" spans="2:2" x14ac:dyDescent="0.25">
      <c r="B1305" t="s">
        <v>855</v>
      </c>
    </row>
    <row r="1306" spans="2:2" x14ac:dyDescent="0.25">
      <c r="B1306" t="s">
        <v>856</v>
      </c>
    </row>
    <row r="1307" spans="2:2" x14ac:dyDescent="0.25">
      <c r="B1307" t="s">
        <v>857</v>
      </c>
    </row>
    <row r="1308" spans="2:2" x14ac:dyDescent="0.25">
      <c r="B1308" t="s">
        <v>858</v>
      </c>
    </row>
    <row r="1309" spans="2:2" x14ac:dyDescent="0.25">
      <c r="B1309" t="s">
        <v>859</v>
      </c>
    </row>
    <row r="1310" spans="2:2" x14ac:dyDescent="0.25">
      <c r="B1310" t="s">
        <v>860</v>
      </c>
    </row>
    <row r="1311" spans="2:2" x14ac:dyDescent="0.25">
      <c r="B1311" t="s">
        <v>861</v>
      </c>
    </row>
    <row r="1312" spans="2:2" x14ac:dyDescent="0.25">
      <c r="B1312" t="s">
        <v>862</v>
      </c>
    </row>
    <row r="1313" spans="2:2" x14ac:dyDescent="0.25">
      <c r="B1313" t="s">
        <v>863</v>
      </c>
    </row>
    <row r="1314" spans="2:2" x14ac:dyDescent="0.25">
      <c r="B1314" t="s">
        <v>864</v>
      </c>
    </row>
    <row r="1315" spans="2:2" x14ac:dyDescent="0.25">
      <c r="B1315" t="s">
        <v>865</v>
      </c>
    </row>
    <row r="1316" spans="2:2" x14ac:dyDescent="0.25">
      <c r="B1316" t="s">
        <v>866</v>
      </c>
    </row>
    <row r="1317" spans="2:2" x14ac:dyDescent="0.25">
      <c r="B1317" t="s">
        <v>867</v>
      </c>
    </row>
    <row r="1318" spans="2:2" x14ac:dyDescent="0.25">
      <c r="B1318" t="s">
        <v>868</v>
      </c>
    </row>
    <row r="1319" spans="2:2" x14ac:dyDescent="0.25">
      <c r="B1319" t="s">
        <v>869</v>
      </c>
    </row>
    <row r="1320" spans="2:2" x14ac:dyDescent="0.25">
      <c r="B1320" t="s">
        <v>870</v>
      </c>
    </row>
    <row r="1321" spans="2:2" x14ac:dyDescent="0.25">
      <c r="B1321" t="s">
        <v>871</v>
      </c>
    </row>
    <row r="1322" spans="2:2" x14ac:dyDescent="0.25">
      <c r="B1322" t="s">
        <v>872</v>
      </c>
    </row>
    <row r="1323" spans="2:2" x14ac:dyDescent="0.25">
      <c r="B1323" t="s">
        <v>873</v>
      </c>
    </row>
    <row r="1324" spans="2:2" x14ac:dyDescent="0.25">
      <c r="B1324" t="s">
        <v>874</v>
      </c>
    </row>
    <row r="1325" spans="2:2" x14ac:dyDescent="0.25">
      <c r="B1325" t="s">
        <v>875</v>
      </c>
    </row>
    <row r="1326" spans="2:2" x14ac:dyDescent="0.25">
      <c r="B1326" t="s">
        <v>876</v>
      </c>
    </row>
    <row r="1327" spans="2:2" x14ac:dyDescent="0.25">
      <c r="B1327" t="s">
        <v>877</v>
      </c>
    </row>
    <row r="1328" spans="2:2" x14ac:dyDescent="0.25">
      <c r="B1328" t="s">
        <v>878</v>
      </c>
    </row>
    <row r="1329" spans="2:2" x14ac:dyDescent="0.25">
      <c r="B1329" t="s">
        <v>879</v>
      </c>
    </row>
    <row r="1330" spans="2:2" x14ac:dyDescent="0.25">
      <c r="B1330" t="s">
        <v>880</v>
      </c>
    </row>
    <row r="1331" spans="2:2" x14ac:dyDescent="0.25">
      <c r="B1331" t="s">
        <v>881</v>
      </c>
    </row>
    <row r="1332" spans="2:2" x14ac:dyDescent="0.25">
      <c r="B1332" t="s">
        <v>882</v>
      </c>
    </row>
    <row r="1333" spans="2:2" x14ac:dyDescent="0.25">
      <c r="B1333" t="s">
        <v>883</v>
      </c>
    </row>
    <row r="1334" spans="2:2" x14ac:dyDescent="0.25">
      <c r="B1334" t="s">
        <v>884</v>
      </c>
    </row>
    <row r="1335" spans="2:2" x14ac:dyDescent="0.25">
      <c r="B1335" t="s">
        <v>885</v>
      </c>
    </row>
    <row r="1336" spans="2:2" x14ac:dyDescent="0.25">
      <c r="B1336" t="s">
        <v>886</v>
      </c>
    </row>
    <row r="1337" spans="2:2" x14ac:dyDescent="0.25">
      <c r="B1337" t="s">
        <v>887</v>
      </c>
    </row>
    <row r="1338" spans="2:2" x14ac:dyDescent="0.25">
      <c r="B1338" t="s">
        <v>888</v>
      </c>
    </row>
    <row r="1339" spans="2:2" x14ac:dyDescent="0.25">
      <c r="B1339" t="s">
        <v>889</v>
      </c>
    </row>
    <row r="1340" spans="2:2" x14ac:dyDescent="0.25">
      <c r="B1340" t="s">
        <v>890</v>
      </c>
    </row>
    <row r="1341" spans="2:2" x14ac:dyDescent="0.25">
      <c r="B1341" t="s">
        <v>891</v>
      </c>
    </row>
    <row r="1342" spans="2:2" x14ac:dyDescent="0.25">
      <c r="B1342" t="s">
        <v>892</v>
      </c>
    </row>
    <row r="1343" spans="2:2" x14ac:dyDescent="0.25">
      <c r="B1343" t="s">
        <v>887</v>
      </c>
    </row>
    <row r="1344" spans="2:2" x14ac:dyDescent="0.25">
      <c r="B1344" t="s">
        <v>893</v>
      </c>
    </row>
    <row r="1345" spans="2:2" x14ac:dyDescent="0.25">
      <c r="B1345" t="s">
        <v>894</v>
      </c>
    </row>
    <row r="1346" spans="2:2" x14ac:dyDescent="0.25">
      <c r="B1346" t="s">
        <v>895</v>
      </c>
    </row>
    <row r="1347" spans="2:2" x14ac:dyDescent="0.25">
      <c r="B1347" t="s">
        <v>896</v>
      </c>
    </row>
    <row r="1348" spans="2:2" x14ac:dyDescent="0.25">
      <c r="B1348" t="s">
        <v>897</v>
      </c>
    </row>
    <row r="1349" spans="2:2" x14ac:dyDescent="0.25">
      <c r="B1349" t="s">
        <v>898</v>
      </c>
    </row>
    <row r="1350" spans="2:2" x14ac:dyDescent="0.25">
      <c r="B1350" t="s">
        <v>899</v>
      </c>
    </row>
    <row r="1351" spans="2:2" x14ac:dyDescent="0.25">
      <c r="B1351" t="s">
        <v>900</v>
      </c>
    </row>
    <row r="1353" spans="2:2" x14ac:dyDescent="0.25">
      <c r="B1353" t="s">
        <v>724</v>
      </c>
    </row>
    <row r="1355" spans="2:2" x14ac:dyDescent="0.25">
      <c r="B1355" t="s">
        <v>901</v>
      </c>
    </row>
    <row r="1356" spans="2:2" x14ac:dyDescent="0.25">
      <c r="B1356" t="s">
        <v>902</v>
      </c>
    </row>
    <row r="1358" spans="2:2" x14ac:dyDescent="0.25">
      <c r="B1358" t="s">
        <v>903</v>
      </c>
    </row>
    <row r="1359" spans="2:2" x14ac:dyDescent="0.25">
      <c r="B1359" t="s">
        <v>904</v>
      </c>
    </row>
    <row r="1360" spans="2:2" x14ac:dyDescent="0.25">
      <c r="B1360" t="s">
        <v>905</v>
      </c>
    </row>
    <row r="1361" spans="2:2" x14ac:dyDescent="0.25">
      <c r="B1361" t="s">
        <v>906</v>
      </c>
    </row>
    <row r="1362" spans="2:2" x14ac:dyDescent="0.25">
      <c r="B1362" t="s">
        <v>907</v>
      </c>
    </row>
    <row r="1363" spans="2:2" x14ac:dyDescent="0.25">
      <c r="B1363" t="s">
        <v>908</v>
      </c>
    </row>
    <row r="1364" spans="2:2" x14ac:dyDescent="0.25">
      <c r="B1364" t="s">
        <v>909</v>
      </c>
    </row>
    <row r="1365" spans="2:2" x14ac:dyDescent="0.25">
      <c r="B1365" t="s">
        <v>910</v>
      </c>
    </row>
    <row r="1367" spans="2:2" x14ac:dyDescent="0.25">
      <c r="B1367" t="s">
        <v>724</v>
      </c>
    </row>
    <row r="1369" spans="2:2" x14ac:dyDescent="0.25">
      <c r="B1369" t="s">
        <v>302</v>
      </c>
    </row>
    <row r="1370" spans="2:2" x14ac:dyDescent="0.25">
      <c r="B1370" t="s">
        <v>303</v>
      </c>
    </row>
    <row r="1371" spans="2:2" x14ac:dyDescent="0.25">
      <c r="B1371" t="s">
        <v>304</v>
      </c>
    </row>
    <row r="1373" spans="2:2" x14ac:dyDescent="0.25">
      <c r="B1373" t="s">
        <v>305</v>
      </c>
    </row>
    <row r="1374" spans="2:2" x14ac:dyDescent="0.25">
      <c r="B1374" t="s">
        <v>306</v>
      </c>
    </row>
    <row r="1375" spans="2:2" x14ac:dyDescent="0.25">
      <c r="B1375" t="s">
        <v>307</v>
      </c>
    </row>
    <row r="1376" spans="2:2" x14ac:dyDescent="0.25">
      <c r="B1376" t="s">
        <v>308</v>
      </c>
    </row>
    <row r="1377" spans="2:2" x14ac:dyDescent="0.25">
      <c r="B1377" t="s">
        <v>309</v>
      </c>
    </row>
    <row r="1378" spans="2:2" x14ac:dyDescent="0.25">
      <c r="B1378" t="s">
        <v>310</v>
      </c>
    </row>
    <row r="1379" spans="2:2" x14ac:dyDescent="0.25">
      <c r="B1379" t="s">
        <v>311</v>
      </c>
    </row>
    <row r="1380" spans="2:2" x14ac:dyDescent="0.25">
      <c r="B1380" t="s">
        <v>312</v>
      </c>
    </row>
    <row r="1381" spans="2:2" x14ac:dyDescent="0.25">
      <c r="B1381" t="s">
        <v>313</v>
      </c>
    </row>
    <row r="1382" spans="2:2" x14ac:dyDescent="0.25">
      <c r="B1382" t="s">
        <v>314</v>
      </c>
    </row>
    <row r="1383" spans="2:2" x14ac:dyDescent="0.25">
      <c r="B1383" t="s">
        <v>315</v>
      </c>
    </row>
    <row r="1384" spans="2:2" x14ac:dyDescent="0.25">
      <c r="B1384" t="s">
        <v>316</v>
      </c>
    </row>
    <row r="1385" spans="2:2" x14ac:dyDescent="0.25">
      <c r="B1385" t="s">
        <v>317</v>
      </c>
    </row>
    <row r="1386" spans="2:2" x14ac:dyDescent="0.25">
      <c r="B1386" t="s">
        <v>318</v>
      </c>
    </row>
    <row r="1388" spans="2:2" x14ac:dyDescent="0.25">
      <c r="B1388" t="s">
        <v>319</v>
      </c>
    </row>
    <row r="1390" spans="2:2" x14ac:dyDescent="0.25">
      <c r="B1390" t="s">
        <v>320</v>
      </c>
    </row>
    <row r="1391" spans="2:2" x14ac:dyDescent="0.25">
      <c r="B1391" t="s">
        <v>321</v>
      </c>
    </row>
    <row r="1392" spans="2:2" x14ac:dyDescent="0.25">
      <c r="B1392" t="s">
        <v>322</v>
      </c>
    </row>
    <row r="1393" spans="2:2" x14ac:dyDescent="0.25">
      <c r="B1393" t="s">
        <v>323</v>
      </c>
    </row>
    <row r="1394" spans="2:2" x14ac:dyDescent="0.25">
      <c r="B1394" t="s">
        <v>324</v>
      </c>
    </row>
    <row r="1395" spans="2:2" x14ac:dyDescent="0.25">
      <c r="B1395" t="s">
        <v>325</v>
      </c>
    </row>
    <row r="1396" spans="2:2" x14ac:dyDescent="0.25">
      <c r="B1396" t="s">
        <v>326</v>
      </c>
    </row>
    <row r="1397" spans="2:2" x14ac:dyDescent="0.25">
      <c r="B1397" t="s">
        <v>327</v>
      </c>
    </row>
    <row r="1398" spans="2:2" x14ac:dyDescent="0.25">
      <c r="B1398" t="s">
        <v>328</v>
      </c>
    </row>
    <row r="1399" spans="2:2" x14ac:dyDescent="0.25">
      <c r="B1399" t="s">
        <v>329</v>
      </c>
    </row>
    <row r="1400" spans="2:2" x14ac:dyDescent="0.25">
      <c r="B1400" t="s">
        <v>330</v>
      </c>
    </row>
    <row r="1401" spans="2:2" x14ac:dyDescent="0.25">
      <c r="B1401" t="s">
        <v>331</v>
      </c>
    </row>
    <row r="1403" spans="2:2" x14ac:dyDescent="0.25">
      <c r="B1403" t="s">
        <v>332</v>
      </c>
    </row>
    <row r="1405" spans="2:2" x14ac:dyDescent="0.25">
      <c r="B1405" t="s">
        <v>333</v>
      </c>
    </row>
    <row r="1406" spans="2:2" x14ac:dyDescent="0.25">
      <c r="B1406" t="s">
        <v>334</v>
      </c>
    </row>
    <row r="1407" spans="2:2" x14ac:dyDescent="0.25">
      <c r="B1407" t="s">
        <v>939</v>
      </c>
    </row>
    <row r="1408" spans="2:2" x14ac:dyDescent="0.25">
      <c r="B1408" t="s">
        <v>940</v>
      </c>
    </row>
    <row r="1409" spans="2:2" x14ac:dyDescent="0.25">
      <c r="B1409" t="s">
        <v>941</v>
      </c>
    </row>
    <row r="1410" spans="2:2" x14ac:dyDescent="0.25">
      <c r="B1410" t="s">
        <v>942</v>
      </c>
    </row>
    <row r="1411" spans="2:2" x14ac:dyDescent="0.25">
      <c r="B1411" t="s">
        <v>943</v>
      </c>
    </row>
    <row r="1412" spans="2:2" x14ac:dyDescent="0.25">
      <c r="B1412" t="s">
        <v>944</v>
      </c>
    </row>
    <row r="1414" spans="2:2" x14ac:dyDescent="0.25">
      <c r="B1414" t="s">
        <v>724</v>
      </c>
    </row>
    <row r="1416" spans="2:2" x14ac:dyDescent="0.25">
      <c r="B1416" t="s">
        <v>667</v>
      </c>
    </row>
    <row r="1417" spans="2:2" x14ac:dyDescent="0.25">
      <c r="B1417" t="s">
        <v>668</v>
      </c>
    </row>
    <row r="1418" spans="2:2" x14ac:dyDescent="0.25">
      <c r="B1418" t="s">
        <v>669</v>
      </c>
    </row>
    <row r="1420" spans="2:2" x14ac:dyDescent="0.25">
      <c r="B1420" t="s">
        <v>945</v>
      </c>
    </row>
    <row r="1421" spans="2:2" x14ac:dyDescent="0.25">
      <c r="B1421" t="s">
        <v>946</v>
      </c>
    </row>
    <row r="1423" spans="2:2" x14ac:dyDescent="0.25">
      <c r="B1423" t="s">
        <v>724</v>
      </c>
    </row>
    <row r="1425" spans="2:2" x14ac:dyDescent="0.25">
      <c r="B1425" t="s">
        <v>947</v>
      </c>
    </row>
    <row r="1426" spans="2:2" x14ac:dyDescent="0.25">
      <c r="B1426" t="s">
        <v>948</v>
      </c>
    </row>
    <row r="1428" spans="2:2" x14ac:dyDescent="0.25">
      <c r="B1428" t="s">
        <v>949</v>
      </c>
    </row>
    <row r="1430" spans="2:2" x14ac:dyDescent="0.25">
      <c r="B1430" t="s">
        <v>724</v>
      </c>
    </row>
    <row r="1432" spans="2:2" x14ac:dyDescent="0.25">
      <c r="B1432" t="s">
        <v>679</v>
      </c>
    </row>
    <row r="1433" spans="2:2" x14ac:dyDescent="0.25">
      <c r="B1433" t="s">
        <v>950</v>
      </c>
    </row>
    <row r="1434" spans="2:2" x14ac:dyDescent="0.25">
      <c r="B1434" t="s">
        <v>951</v>
      </c>
    </row>
    <row r="1436" spans="2:2" x14ac:dyDescent="0.25">
      <c r="B1436" t="s">
        <v>952</v>
      </c>
    </row>
    <row r="1437" spans="2:2" x14ac:dyDescent="0.25">
      <c r="B1437" t="s">
        <v>953</v>
      </c>
    </row>
    <row r="1438" spans="2:2" x14ac:dyDescent="0.25">
      <c r="B1438" t="s">
        <v>954</v>
      </c>
    </row>
    <row r="1439" spans="2:2" x14ac:dyDescent="0.25">
      <c r="B1439" t="s">
        <v>955</v>
      </c>
    </row>
    <row r="1440" spans="2:2" x14ac:dyDescent="0.25">
      <c r="B1440" t="s">
        <v>956</v>
      </c>
    </row>
    <row r="1441" spans="2:2" x14ac:dyDescent="0.25">
      <c r="B1441" t="s">
        <v>957</v>
      </c>
    </row>
    <row r="1442" spans="2:2" x14ac:dyDescent="0.25">
      <c r="B1442" t="s">
        <v>958</v>
      </c>
    </row>
    <row r="1444" spans="2:2" x14ac:dyDescent="0.25">
      <c r="B1444" t="s">
        <v>724</v>
      </c>
    </row>
    <row r="1446" spans="2:2" x14ac:dyDescent="0.25">
      <c r="B1446" t="s">
        <v>105</v>
      </c>
    </row>
    <row r="1447" spans="2:2" x14ac:dyDescent="0.25">
      <c r="B1447" t="s">
        <v>106</v>
      </c>
    </row>
    <row r="1448" spans="2:2" x14ac:dyDescent="0.25">
      <c r="B1448" t="s">
        <v>107</v>
      </c>
    </row>
    <row r="1449" spans="2:2" x14ac:dyDescent="0.25">
      <c r="B1449" t="s">
        <v>108</v>
      </c>
    </row>
    <row r="1451" spans="2:2" x14ac:dyDescent="0.25">
      <c r="B1451" t="s">
        <v>959</v>
      </c>
    </row>
    <row r="1452" spans="2:2" x14ac:dyDescent="0.25">
      <c r="B1452" t="s">
        <v>960</v>
      </c>
    </row>
    <row r="1453" spans="2:2" x14ac:dyDescent="0.25">
      <c r="B1453" t="s">
        <v>961</v>
      </c>
    </row>
    <row r="1454" spans="2:2" x14ac:dyDescent="0.25">
      <c r="B1454" t="s">
        <v>962</v>
      </c>
    </row>
    <row r="1455" spans="2:2" x14ac:dyDescent="0.25">
      <c r="B1455" t="s">
        <v>963</v>
      </c>
    </row>
    <row r="1456" spans="2:2" x14ac:dyDescent="0.25">
      <c r="B1456" t="s">
        <v>964</v>
      </c>
    </row>
    <row r="1457" spans="2:2" x14ac:dyDescent="0.25">
      <c r="B1457" t="s">
        <v>965</v>
      </c>
    </row>
    <row r="1458" spans="2:2" x14ac:dyDescent="0.25">
      <c r="B1458" t="s">
        <v>966</v>
      </c>
    </row>
    <row r="1459" spans="2:2" x14ac:dyDescent="0.25">
      <c r="B1459" t="s">
        <v>967</v>
      </c>
    </row>
    <row r="1460" spans="2:2" x14ac:dyDescent="0.25">
      <c r="B1460" t="s">
        <v>968</v>
      </c>
    </row>
    <row r="1461" spans="2:2" x14ac:dyDescent="0.25">
      <c r="B1461" t="s">
        <v>969</v>
      </c>
    </row>
    <row r="1463" spans="2:2" x14ac:dyDescent="0.25">
      <c r="B1463" t="s">
        <v>724</v>
      </c>
    </row>
    <row r="1465" spans="2:2" x14ac:dyDescent="0.25">
      <c r="B1465" t="s">
        <v>707</v>
      </c>
    </row>
    <row r="1466" spans="2:2" x14ac:dyDescent="0.25">
      <c r="B1466" t="s">
        <v>708</v>
      </c>
    </row>
    <row r="1467" spans="2:2" x14ac:dyDescent="0.25">
      <c r="B1467" t="s">
        <v>709</v>
      </c>
    </row>
    <row r="1468" spans="2:2" x14ac:dyDescent="0.25">
      <c r="B1468" t="s">
        <v>710</v>
      </c>
    </row>
    <row r="1470" spans="2:2" x14ac:dyDescent="0.25">
      <c r="B1470" t="s">
        <v>970</v>
      </c>
    </row>
    <row r="1471" spans="2:2" x14ac:dyDescent="0.25">
      <c r="B1471" t="s">
        <v>971</v>
      </c>
    </row>
    <row r="1472" spans="2:2" x14ac:dyDescent="0.25">
      <c r="B1472" t="s">
        <v>972</v>
      </c>
    </row>
    <row r="1473" spans="2:2" x14ac:dyDescent="0.25">
      <c r="B1473" t="s">
        <v>973</v>
      </c>
    </row>
    <row r="1474" spans="2:2" x14ac:dyDescent="0.25">
      <c r="B1474" t="s">
        <v>974</v>
      </c>
    </row>
    <row r="1475" spans="2:2" x14ac:dyDescent="0.25">
      <c r="B1475" t="s">
        <v>975</v>
      </c>
    </row>
    <row r="1476" spans="2:2" x14ac:dyDescent="0.25">
      <c r="B1476" t="s">
        <v>976</v>
      </c>
    </row>
    <row r="1477" spans="2:2" x14ac:dyDescent="0.25">
      <c r="B1477" t="s">
        <v>977</v>
      </c>
    </row>
    <row r="1478" spans="2:2" x14ac:dyDescent="0.25">
      <c r="B1478" t="s">
        <v>978</v>
      </c>
    </row>
    <row r="1479" spans="2:2" x14ac:dyDescent="0.25">
      <c r="B1479" t="s">
        <v>979</v>
      </c>
    </row>
    <row r="1481" spans="2:2" x14ac:dyDescent="0.25">
      <c r="B1481" t="s">
        <v>724</v>
      </c>
    </row>
    <row r="1483" spans="2:2" x14ac:dyDescent="0.25">
      <c r="B1483" t="s">
        <v>980</v>
      </c>
    </row>
    <row r="1484" spans="2:2" x14ac:dyDescent="0.25">
      <c r="B1484" t="s">
        <v>981</v>
      </c>
    </row>
    <row r="1486" spans="2:2" x14ac:dyDescent="0.25">
      <c r="B1486" t="s">
        <v>982</v>
      </c>
    </row>
    <row r="1488" spans="2:2" x14ac:dyDescent="0.25">
      <c r="B1488" t="s">
        <v>724</v>
      </c>
    </row>
    <row r="1490" spans="2:2" x14ac:dyDescent="0.25">
      <c r="B1490" t="s">
        <v>715</v>
      </c>
    </row>
    <row r="1491" spans="2:2" x14ac:dyDescent="0.25">
      <c r="B1491" t="s">
        <v>716</v>
      </c>
    </row>
    <row r="1493" spans="2:2" x14ac:dyDescent="0.25">
      <c r="B1493" t="s">
        <v>983</v>
      </c>
    </row>
    <row r="1495" spans="2:2" x14ac:dyDescent="0.25">
      <c r="B1495" t="s">
        <v>984</v>
      </c>
    </row>
    <row r="1496" spans="2:2" x14ac:dyDescent="0.25">
      <c r="B1496" t="s">
        <v>985</v>
      </c>
    </row>
    <row r="1497" spans="2:2" x14ac:dyDescent="0.25">
      <c r="B1497" t="s">
        <v>986</v>
      </c>
    </row>
    <row r="1499" spans="2:2" x14ac:dyDescent="0.25">
      <c r="B1499" t="s">
        <v>724</v>
      </c>
    </row>
  </sheetData>
  <phoneticPr fontId="18" type="noConversion"/>
  <pageMargins left="0.75" right="0.75" top="1" bottom="1" header="0.5" footer="0.5"/>
  <pageSetup fitToHeight="30"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fitToPage="1"/>
  </sheetPr>
  <dimension ref="A1:BI335"/>
  <sheetViews>
    <sheetView showGridLines="0" tabSelected="1" zoomScale="90" zoomScaleNormal="90" workbookViewId="0">
      <pane ySplit="9" topLeftCell="A10" activePane="bottomLeft" state="frozen"/>
      <selection pane="bottomLeft" activeCell="A10" sqref="A10"/>
    </sheetView>
  </sheetViews>
  <sheetFormatPr defaultColWidth="9.109375" defaultRowHeight="13.2" x14ac:dyDescent="0.25"/>
  <cols>
    <col min="1" max="1" width="12.6640625" style="9" customWidth="1"/>
    <col min="2" max="2" width="16.6640625" style="10" customWidth="1"/>
    <col min="3" max="3" width="20.88671875" style="11" customWidth="1"/>
    <col min="4" max="4" width="14" style="11" bestFit="1" customWidth="1"/>
    <col min="5" max="5" width="14.33203125" style="11" bestFit="1" customWidth="1"/>
    <col min="6" max="6" width="15.5546875" style="12" customWidth="1"/>
    <col min="7" max="9" width="11.6640625" style="12" customWidth="1"/>
    <col min="10" max="10" width="15.6640625" style="11" customWidth="1"/>
    <col min="11" max="11" width="18.5546875" style="11" bestFit="1" customWidth="1"/>
    <col min="12" max="12" width="18.6640625" style="91" customWidth="1"/>
    <col min="13" max="13" width="18.5546875" style="12" bestFit="1" customWidth="1"/>
    <col min="14" max="18" width="12.6640625" style="11" customWidth="1"/>
    <col min="19" max="19" width="10.6640625" style="13" customWidth="1"/>
    <col min="20" max="20" width="14.6640625" style="14" customWidth="1"/>
    <col min="21" max="21" width="12.6640625" style="91" customWidth="1"/>
    <col min="22" max="22" width="15.6640625" style="12" customWidth="1"/>
    <col min="23" max="27" width="12.6640625" style="11" customWidth="1"/>
    <col min="28" max="28" width="10.6640625" style="13" customWidth="1"/>
    <col min="29" max="29" width="14.6640625" style="14" customWidth="1"/>
    <col min="30" max="30" width="14.109375" style="15" bestFit="1" customWidth="1"/>
    <col min="31" max="41" width="10.6640625" style="9" customWidth="1"/>
    <col min="42" max="42" width="12.5546875" style="9" customWidth="1"/>
    <col min="43" max="43" width="14.6640625" style="9" customWidth="1"/>
    <col min="44" max="54" width="10.6640625" style="9" customWidth="1"/>
    <col min="55" max="55" width="12.5546875" style="9" customWidth="1"/>
    <col min="56" max="56" width="14.6640625" style="9" customWidth="1"/>
    <col min="57" max="57" width="14" style="9" customWidth="1"/>
    <col min="58" max="58" width="13.88671875" style="9" bestFit="1" customWidth="1"/>
    <col min="59" max="16384" width="9.109375" style="9"/>
  </cols>
  <sheetData>
    <row r="1" spans="1:61" x14ac:dyDescent="0.25">
      <c r="A1" s="16" t="s">
        <v>987</v>
      </c>
      <c r="B1" s="16"/>
      <c r="C1" s="16"/>
      <c r="D1" s="16"/>
      <c r="E1" s="16"/>
      <c r="F1" s="16"/>
      <c r="G1" s="16"/>
      <c r="H1" s="16"/>
      <c r="I1" s="16"/>
      <c r="J1" s="16"/>
      <c r="K1" s="16"/>
      <c r="L1" s="90"/>
      <c r="M1" s="98"/>
    </row>
    <row r="2" spans="1:61" x14ac:dyDescent="0.25">
      <c r="A2" s="17"/>
      <c r="B2" s="18"/>
      <c r="AE2" s="9" t="s">
        <v>1171</v>
      </c>
      <c r="AF2" s="9" t="s">
        <v>1128</v>
      </c>
      <c r="AG2" s="9" t="s">
        <v>1129</v>
      </c>
      <c r="AH2" s="9" t="s">
        <v>1172</v>
      </c>
      <c r="AI2" s="9" t="s">
        <v>1173</v>
      </c>
      <c r="AJ2" s="9" t="s">
        <v>1174</v>
      </c>
      <c r="AK2" s="9" t="s">
        <v>1175</v>
      </c>
      <c r="AL2" s="9" t="s">
        <v>1176</v>
      </c>
      <c r="AM2" s="9" t="s">
        <v>1177</v>
      </c>
      <c r="AN2" s="9" t="s">
        <v>1178</v>
      </c>
      <c r="AO2" s="9" t="s">
        <v>1179</v>
      </c>
      <c r="AP2" s="9" t="s">
        <v>1182</v>
      </c>
      <c r="AQ2" s="9" t="s">
        <v>1183</v>
      </c>
    </row>
    <row r="3" spans="1:61" ht="13.8" x14ac:dyDescent="0.3">
      <c r="A3" s="17"/>
      <c r="B3" s="19" t="s">
        <v>988</v>
      </c>
      <c r="C3" s="71" t="s">
        <v>1133</v>
      </c>
      <c r="E3" s="20" t="s">
        <v>989</v>
      </c>
      <c r="F3" s="67" t="s">
        <v>1230</v>
      </c>
      <c r="I3" s="21" t="s">
        <v>990</v>
      </c>
      <c r="J3" s="68" t="s">
        <v>991</v>
      </c>
      <c r="K3" s="87" t="s">
        <v>1132</v>
      </c>
      <c r="L3" s="92" t="s">
        <v>1180</v>
      </c>
      <c r="AD3" s="109" t="s">
        <v>1184</v>
      </c>
      <c r="AE3" s="110">
        <v>0</v>
      </c>
      <c r="AF3" s="110">
        <v>0</v>
      </c>
      <c r="AG3" s="110">
        <v>0</v>
      </c>
      <c r="AH3" s="110">
        <v>0</v>
      </c>
      <c r="AI3" s="110">
        <v>0</v>
      </c>
      <c r="AJ3" s="110">
        <v>0</v>
      </c>
      <c r="AK3" s="110">
        <v>0</v>
      </c>
      <c r="AL3" s="110">
        <v>0</v>
      </c>
      <c r="AM3" s="110">
        <v>0</v>
      </c>
      <c r="AN3" s="110">
        <v>0</v>
      </c>
      <c r="AO3" s="110">
        <v>0</v>
      </c>
      <c r="AP3" s="110">
        <v>0</v>
      </c>
      <c r="AQ3" s="110">
        <v>0</v>
      </c>
    </row>
    <row r="4" spans="1:61" x14ac:dyDescent="0.25">
      <c r="A4" s="17"/>
      <c r="B4" s="19" t="s">
        <v>992</v>
      </c>
      <c r="C4" s="69" t="s">
        <v>993</v>
      </c>
      <c r="E4" s="20" t="s">
        <v>994</v>
      </c>
      <c r="F4" s="66" t="s">
        <v>213</v>
      </c>
      <c r="K4" s="87" t="s">
        <v>1151</v>
      </c>
      <c r="L4" s="92" t="s">
        <v>1152</v>
      </c>
      <c r="AD4" s="109" t="s">
        <v>1185</v>
      </c>
      <c r="AE4" s="110">
        <v>1</v>
      </c>
      <c r="AF4" s="110">
        <v>1</v>
      </c>
      <c r="AG4" s="110">
        <v>1</v>
      </c>
      <c r="AH4" s="110">
        <v>1</v>
      </c>
      <c r="AI4" s="110">
        <v>1</v>
      </c>
      <c r="AJ4" s="110">
        <v>1</v>
      </c>
      <c r="AK4" s="110">
        <v>1</v>
      </c>
      <c r="AL4" s="110">
        <v>1</v>
      </c>
      <c r="AM4" s="110">
        <v>1</v>
      </c>
      <c r="AN4" s="110">
        <v>1</v>
      </c>
      <c r="AO4" s="110">
        <v>1</v>
      </c>
      <c r="AP4" s="110">
        <v>1</v>
      </c>
      <c r="AQ4" s="110">
        <v>1</v>
      </c>
    </row>
    <row r="5" spans="1:61" x14ac:dyDescent="0.25">
      <c r="B5" s="108"/>
      <c r="C5" s="108"/>
      <c r="D5" s="108"/>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row>
    <row r="6" spans="1:61" ht="13.8" x14ac:dyDescent="0.3">
      <c r="A6" s="113" t="s">
        <v>995</v>
      </c>
      <c r="B6" s="114"/>
      <c r="C6" s="114"/>
      <c r="D6" s="114"/>
      <c r="E6" s="114"/>
      <c r="F6" s="114"/>
      <c r="G6" s="114"/>
      <c r="H6" s="114"/>
      <c r="I6" s="114"/>
      <c r="J6" s="114"/>
      <c r="K6" s="115"/>
      <c r="L6" s="93" t="s">
        <v>996</v>
      </c>
      <c r="M6" s="99"/>
      <c r="N6" s="22"/>
      <c r="O6" s="22"/>
      <c r="P6" s="22"/>
      <c r="Q6" s="23"/>
      <c r="R6" s="23"/>
      <c r="S6" s="24"/>
      <c r="T6" s="25"/>
      <c r="U6" s="116" t="s">
        <v>997</v>
      </c>
      <c r="V6" s="117"/>
      <c r="W6" s="117"/>
      <c r="X6" s="117"/>
      <c r="Y6" s="117"/>
      <c r="Z6" s="117"/>
      <c r="AA6" s="117"/>
      <c r="AB6" s="26"/>
      <c r="AC6" s="25"/>
      <c r="AD6" s="27" t="s">
        <v>998</v>
      </c>
      <c r="AE6" s="72" t="s">
        <v>1130</v>
      </c>
      <c r="AF6" s="73"/>
      <c r="AG6" s="73"/>
      <c r="AH6" s="73"/>
      <c r="AI6" s="73"/>
      <c r="AJ6" s="73"/>
      <c r="AK6" s="73"/>
      <c r="AL6" s="73"/>
      <c r="AM6" s="73"/>
      <c r="AN6" s="73"/>
      <c r="AO6" s="73"/>
      <c r="AP6" s="73"/>
      <c r="AQ6" s="74"/>
      <c r="AR6" s="72" t="s">
        <v>1131</v>
      </c>
      <c r="AS6" s="73"/>
      <c r="AT6" s="73"/>
      <c r="AU6" s="73"/>
      <c r="AV6" s="73"/>
      <c r="AW6" s="73"/>
      <c r="AX6" s="73"/>
      <c r="AY6" s="73"/>
      <c r="AZ6" s="73"/>
      <c r="BA6" s="73"/>
      <c r="BB6" s="73"/>
      <c r="BC6" s="73"/>
      <c r="BD6" s="74"/>
      <c r="BE6" s="81"/>
    </row>
    <row r="7" spans="1:61" ht="13.8" x14ac:dyDescent="0.3">
      <c r="A7" s="28" t="s">
        <v>999</v>
      </c>
      <c r="B7" s="29" t="s">
        <v>1000</v>
      </c>
      <c r="C7" s="30" t="s">
        <v>938</v>
      </c>
      <c r="D7" s="30" t="s">
        <v>1001</v>
      </c>
      <c r="E7" s="30" t="s">
        <v>1002</v>
      </c>
      <c r="F7" s="31" t="s">
        <v>1003</v>
      </c>
      <c r="G7" s="31" t="s">
        <v>1004</v>
      </c>
      <c r="H7" s="31" t="s">
        <v>1005</v>
      </c>
      <c r="I7" s="31" t="s">
        <v>1006</v>
      </c>
      <c r="J7" s="88" t="s">
        <v>1007</v>
      </c>
      <c r="K7" s="86" t="s">
        <v>1008</v>
      </c>
      <c r="L7" s="94" t="s">
        <v>1009</v>
      </c>
      <c r="M7" s="100" t="s">
        <v>1010</v>
      </c>
      <c r="N7" s="118" t="s">
        <v>1011</v>
      </c>
      <c r="O7" s="119"/>
      <c r="P7" s="120"/>
      <c r="Q7" s="121" t="s">
        <v>1181</v>
      </c>
      <c r="R7" s="120"/>
      <c r="S7" s="33" t="s">
        <v>1012</v>
      </c>
      <c r="T7" s="32" t="s">
        <v>1013</v>
      </c>
      <c r="U7" s="103"/>
      <c r="V7" s="106" t="s">
        <v>1014</v>
      </c>
      <c r="W7" s="118" t="s">
        <v>1011</v>
      </c>
      <c r="X7" s="119"/>
      <c r="Y7" s="120"/>
      <c r="Z7" s="121" t="s">
        <v>1181</v>
      </c>
      <c r="AA7" s="120"/>
      <c r="AB7" s="33" t="s">
        <v>1012</v>
      </c>
      <c r="AC7" s="34" t="s">
        <v>1013</v>
      </c>
      <c r="AD7" s="35" t="s">
        <v>1015</v>
      </c>
      <c r="AE7" s="75" t="s">
        <v>1171</v>
      </c>
      <c r="AF7" s="76" t="s">
        <v>1128</v>
      </c>
      <c r="AG7" s="76" t="s">
        <v>1129</v>
      </c>
      <c r="AH7" s="76" t="s">
        <v>1172</v>
      </c>
      <c r="AI7" s="76" t="s">
        <v>1173</v>
      </c>
      <c r="AJ7" s="76" t="s">
        <v>1174</v>
      </c>
      <c r="AK7" s="76" t="s">
        <v>1175</v>
      </c>
      <c r="AL7" s="76" t="s">
        <v>1176</v>
      </c>
      <c r="AM7" s="76" t="s">
        <v>1177</v>
      </c>
      <c r="AN7" s="76" t="s">
        <v>1178</v>
      </c>
      <c r="AO7" s="76" t="s">
        <v>1179</v>
      </c>
      <c r="AP7" s="76" t="s">
        <v>1182</v>
      </c>
      <c r="AQ7" s="77" t="s">
        <v>1183</v>
      </c>
      <c r="AR7" s="75" t="s">
        <v>1171</v>
      </c>
      <c r="AS7" s="76" t="s">
        <v>1128</v>
      </c>
      <c r="AT7" s="76" t="s">
        <v>1129</v>
      </c>
      <c r="AU7" s="76" t="s">
        <v>1172</v>
      </c>
      <c r="AV7" s="76" t="s">
        <v>1173</v>
      </c>
      <c r="AW7" s="76" t="s">
        <v>1174</v>
      </c>
      <c r="AX7" s="76" t="s">
        <v>1175</v>
      </c>
      <c r="AY7" s="76" t="s">
        <v>1176</v>
      </c>
      <c r="AZ7" s="76" t="s">
        <v>1177</v>
      </c>
      <c r="BA7" s="76" t="s">
        <v>1178</v>
      </c>
      <c r="BB7" s="76" t="s">
        <v>1179</v>
      </c>
      <c r="BC7" s="76" t="s">
        <v>1182</v>
      </c>
      <c r="BD7" s="77" t="s">
        <v>1183</v>
      </c>
    </row>
    <row r="8" spans="1:61" x14ac:dyDescent="0.25">
      <c r="A8" s="28"/>
      <c r="B8" s="29"/>
      <c r="C8" s="30"/>
      <c r="D8" s="30"/>
      <c r="E8" s="30"/>
      <c r="F8" s="31"/>
      <c r="G8" s="31"/>
      <c r="H8" s="31"/>
      <c r="I8" s="31"/>
      <c r="J8" s="36" t="s">
        <v>1225</v>
      </c>
      <c r="K8" s="37" t="s">
        <v>1227</v>
      </c>
      <c r="L8" s="95" t="s">
        <v>1228</v>
      </c>
      <c r="M8" s="101" t="s">
        <v>1231</v>
      </c>
      <c r="N8" s="38" t="s">
        <v>1017</v>
      </c>
      <c r="O8" s="38" t="s">
        <v>1018</v>
      </c>
      <c r="P8" s="38" t="s">
        <v>1019</v>
      </c>
      <c r="Q8" s="38" t="s">
        <v>1020</v>
      </c>
      <c r="R8" s="38" t="s">
        <v>1021</v>
      </c>
      <c r="S8" s="33" t="s">
        <v>1022</v>
      </c>
      <c r="T8" s="32" t="s">
        <v>1023</v>
      </c>
      <c r="U8" s="104" t="s">
        <v>1016</v>
      </c>
      <c r="V8" s="101" t="s">
        <v>1231</v>
      </c>
      <c r="W8" s="38" t="s">
        <v>1017</v>
      </c>
      <c r="X8" s="38" t="s">
        <v>1018</v>
      </c>
      <c r="Y8" s="38" t="s">
        <v>1019</v>
      </c>
      <c r="Z8" s="38" t="s">
        <v>1020</v>
      </c>
      <c r="AA8" s="38" t="s">
        <v>1021</v>
      </c>
      <c r="AB8" s="33" t="s">
        <v>1022</v>
      </c>
      <c r="AC8" s="32" t="s">
        <v>1023</v>
      </c>
      <c r="AD8" s="39" t="s">
        <v>1024</v>
      </c>
      <c r="AE8" s="75"/>
      <c r="AF8" s="76"/>
      <c r="AG8" s="76"/>
      <c r="AH8" s="76"/>
      <c r="AI8" s="76"/>
      <c r="AJ8" s="76"/>
      <c r="AK8" s="76"/>
      <c r="AL8" s="76"/>
      <c r="AM8" s="76"/>
      <c r="AN8" s="76"/>
      <c r="AO8" s="76"/>
      <c r="AP8" s="76"/>
      <c r="AQ8" s="77"/>
      <c r="AR8" s="75"/>
      <c r="AS8" s="76"/>
      <c r="AT8" s="76"/>
      <c r="AU8" s="76"/>
      <c r="AV8" s="76"/>
      <c r="AW8" s="76"/>
      <c r="AX8" s="76"/>
      <c r="AY8" s="76"/>
      <c r="AZ8" s="76"/>
      <c r="BA8" s="76"/>
      <c r="BB8" s="76"/>
      <c r="BC8" s="76"/>
      <c r="BD8" s="77"/>
      <c r="BE8" s="82"/>
      <c r="BF8" s="82"/>
      <c r="BG8" s="83"/>
      <c r="BH8" s="83"/>
      <c r="BI8" s="84"/>
    </row>
    <row r="9" spans="1:61" x14ac:dyDescent="0.25">
      <c r="A9" s="40" t="s">
        <v>1025</v>
      </c>
      <c r="B9" s="41" t="s">
        <v>1025</v>
      </c>
      <c r="C9" s="42"/>
      <c r="D9" s="43" t="s">
        <v>1026</v>
      </c>
      <c r="E9" s="43" t="s">
        <v>1026</v>
      </c>
      <c r="F9" s="44" t="s">
        <v>1027</v>
      </c>
      <c r="G9" s="44" t="s">
        <v>1028</v>
      </c>
      <c r="H9" s="44" t="s">
        <v>1027</v>
      </c>
      <c r="I9" s="44" t="s">
        <v>1028</v>
      </c>
      <c r="J9" s="45" t="s">
        <v>1226</v>
      </c>
      <c r="K9" s="46" t="s">
        <v>1226</v>
      </c>
      <c r="L9" s="96"/>
      <c r="M9" s="102" t="s">
        <v>1229</v>
      </c>
      <c r="N9" s="47" t="s">
        <v>1026</v>
      </c>
      <c r="O9" s="47" t="s">
        <v>1026</v>
      </c>
      <c r="P9" s="47" t="s">
        <v>1026</v>
      </c>
      <c r="Q9" s="47"/>
      <c r="R9" s="47"/>
      <c r="S9" s="48"/>
      <c r="T9" s="49" t="s">
        <v>1029</v>
      </c>
      <c r="U9" s="105"/>
      <c r="V9" s="102" t="s">
        <v>1229</v>
      </c>
      <c r="W9" s="47" t="s">
        <v>1026</v>
      </c>
      <c r="X9" s="47" t="s">
        <v>1026</v>
      </c>
      <c r="Y9" s="47" t="s">
        <v>1026</v>
      </c>
      <c r="Z9" s="50"/>
      <c r="AA9" s="50"/>
      <c r="AB9" s="51"/>
      <c r="AC9" s="49" t="s">
        <v>1029</v>
      </c>
      <c r="AD9" s="52" t="s">
        <v>1030</v>
      </c>
      <c r="AE9" s="78"/>
      <c r="AF9" s="79"/>
      <c r="AG9" s="79"/>
      <c r="AH9" s="79"/>
      <c r="AI9" s="79"/>
      <c r="AJ9" s="79"/>
      <c r="AK9" s="79"/>
      <c r="AL9" s="79"/>
      <c r="AM9" s="79"/>
      <c r="AN9" s="79"/>
      <c r="AO9" s="79"/>
      <c r="AP9" s="79"/>
      <c r="AQ9" s="80"/>
      <c r="AR9" s="78"/>
      <c r="AS9" s="79"/>
      <c r="AT9" s="79"/>
      <c r="AU9" s="79"/>
      <c r="AV9" s="79"/>
      <c r="AW9" s="79"/>
      <c r="AX9" s="79"/>
      <c r="AY9" s="79"/>
      <c r="AZ9" s="79"/>
      <c r="BA9" s="79"/>
      <c r="BB9" s="79"/>
      <c r="BC9" s="79"/>
      <c r="BD9" s="80"/>
      <c r="BE9" s="82"/>
      <c r="BF9" s="82"/>
      <c r="BG9" s="83"/>
      <c r="BH9" s="83"/>
      <c r="BI9" s="85"/>
    </row>
    <row r="10" spans="1:61" x14ac:dyDescent="0.25">
      <c r="A10" s="53"/>
      <c r="B10" s="54"/>
      <c r="C10" s="111">
        <v>33.318399999999997</v>
      </c>
      <c r="D10" s="55"/>
      <c r="E10" s="55"/>
      <c r="F10" s="111">
        <v>15.879</v>
      </c>
      <c r="G10" s="112">
        <v>2</v>
      </c>
      <c r="H10" s="56"/>
      <c r="I10" s="56"/>
      <c r="J10" s="111">
        <v>2233.7199999999998</v>
      </c>
      <c r="K10" s="111">
        <v>2009.57</v>
      </c>
      <c r="L10" s="97">
        <v>8.0656236073091776</v>
      </c>
      <c r="M10" s="56">
        <v>363.5086899274657</v>
      </c>
      <c r="N10" s="11">
        <v>13.38647290205421</v>
      </c>
      <c r="O10" s="11">
        <v>1835.2773949950097</v>
      </c>
      <c r="P10" s="11">
        <v>160.90613210293606</v>
      </c>
      <c r="Q10" s="11">
        <v>3.8792693550776844</v>
      </c>
      <c r="R10" s="11">
        <v>2.4886623008801529</v>
      </c>
      <c r="S10" s="13">
        <v>11.221504381645577</v>
      </c>
      <c r="T10" s="14">
        <v>1024.4913884347502</v>
      </c>
      <c r="U10" s="91">
        <v>8.238294092180297</v>
      </c>
      <c r="V10" s="12">
        <v>226.86359081802721</v>
      </c>
      <c r="W10" s="11">
        <v>11.944378976466101</v>
      </c>
      <c r="X10" s="11">
        <v>1841.3284052752458</v>
      </c>
      <c r="Y10" s="11">
        <v>156.29721574828812</v>
      </c>
      <c r="Z10" s="11">
        <v>3.7645095328204734</v>
      </c>
      <c r="AA10" s="11">
        <v>2.3697339784135889</v>
      </c>
      <c r="AB10" s="13">
        <v>11.385384754935689</v>
      </c>
      <c r="AC10" s="14">
        <v>1026.3422992916289</v>
      </c>
      <c r="AD10" s="15">
        <v>4</v>
      </c>
      <c r="AE10" s="9">
        <v>1.4338486342312462</v>
      </c>
      <c r="AF10" s="9">
        <v>5.9285880550475394</v>
      </c>
      <c r="AG10" s="9">
        <v>9.1227527274728644</v>
      </c>
      <c r="AH10" s="9">
        <v>13.591539078278302</v>
      </c>
      <c r="AI10" s="9">
        <v>8.7063385508048867</v>
      </c>
      <c r="AJ10" s="9">
        <v>2.5663558987163553</v>
      </c>
      <c r="AK10" s="9">
        <v>0.86314457691789859</v>
      </c>
      <c r="AL10" s="9">
        <v>1.6017811712196097</v>
      </c>
      <c r="AM10" s="9">
        <v>6.035383860542149</v>
      </c>
      <c r="AN10" s="9">
        <v>8.9844066360295436</v>
      </c>
      <c r="AO10" s="9">
        <v>9.5414403165075328</v>
      </c>
      <c r="AP10" s="9">
        <v>6.3913751211222287</v>
      </c>
      <c r="AQ10" s="9">
        <v>6.1985911544620125</v>
      </c>
      <c r="AR10" s="9">
        <v>1.2786012274337197</v>
      </c>
      <c r="AS10" s="9">
        <v>6.0503264137406187</v>
      </c>
      <c r="AT10" s="9">
        <v>9.3094741033993991</v>
      </c>
      <c r="AU10" s="9">
        <v>14.071987613709606</v>
      </c>
      <c r="AV10" s="9">
        <v>8.8459246905553179</v>
      </c>
      <c r="AW10" s="9">
        <v>2.4729371887722063</v>
      </c>
      <c r="AX10" s="9">
        <v>0.663985218546296</v>
      </c>
      <c r="AY10" s="9">
        <v>1.6008238956791145</v>
      </c>
      <c r="AZ10" s="9">
        <v>6.1418286425902888</v>
      </c>
      <c r="BA10" s="9">
        <v>9.2472068395405458</v>
      </c>
      <c r="BB10" s="9">
        <v>9.7577507188208479</v>
      </c>
      <c r="BC10" s="9">
        <v>6.3909549403531161</v>
      </c>
      <c r="BD10" s="9">
        <v>6.1899461348348872</v>
      </c>
    </row>
    <row r="11" spans="1:61" x14ac:dyDescent="0.25">
      <c r="A11" s="53"/>
      <c r="B11" s="54"/>
      <c r="C11" s="111">
        <v>33.353200000000001</v>
      </c>
      <c r="D11" s="55"/>
      <c r="E11" s="55"/>
      <c r="F11" s="111">
        <v>15.002000000000001</v>
      </c>
      <c r="G11" s="112">
        <v>30</v>
      </c>
      <c r="H11" s="56"/>
      <c r="I11" s="56"/>
      <c r="J11" s="111">
        <v>2228.37</v>
      </c>
      <c r="K11" s="111">
        <v>2028.63</v>
      </c>
      <c r="L11" s="97">
        <v>8.0265364403243886</v>
      </c>
      <c r="M11" s="56">
        <v>401.40962592546322</v>
      </c>
      <c r="N11" s="11">
        <v>15.174720512013836</v>
      </c>
      <c r="O11" s="11">
        <v>1868.3356892369284</v>
      </c>
      <c r="P11" s="11">
        <v>145.11959025105776</v>
      </c>
      <c r="Q11" s="11">
        <v>3.4791564983659486</v>
      </c>
      <c r="R11" s="11">
        <v>2.2285795117334506</v>
      </c>
      <c r="S11" s="13">
        <v>11.91304133559118</v>
      </c>
      <c r="T11" s="14">
        <v>1024.8363017086062</v>
      </c>
      <c r="U11" s="91">
        <v>8.1857463170701177</v>
      </c>
      <c r="V11" s="12">
        <v>260.53806843097817</v>
      </c>
      <c r="W11" s="11">
        <v>13.714529686151913</v>
      </c>
      <c r="X11" s="11">
        <v>1873.8655401640813</v>
      </c>
      <c r="Y11" s="11">
        <v>141.04993014976694</v>
      </c>
      <c r="Z11" s="11">
        <v>3.3966480902472793</v>
      </c>
      <c r="AA11" s="11">
        <v>2.1383225195040017</v>
      </c>
      <c r="AB11" s="13">
        <v>12.093831874705584</v>
      </c>
      <c r="AC11" s="14">
        <v>1026.3698803081732</v>
      </c>
      <c r="AD11" s="15">
        <v>4</v>
      </c>
      <c r="AE11" s="9">
        <v>1.4224670818050402</v>
      </c>
      <c r="AF11" s="9">
        <v>5.9362022314687675</v>
      </c>
      <c r="AG11" s="9">
        <v>9.1362653066896939</v>
      </c>
      <c r="AH11" s="9">
        <v>13.627313769964735</v>
      </c>
      <c r="AI11" s="9">
        <v>8.7155277297650642</v>
      </c>
      <c r="AJ11" s="9">
        <v>2.5582890513717653</v>
      </c>
      <c r="AK11" s="9">
        <v>0.84683708449944683</v>
      </c>
      <c r="AL11" s="9">
        <v>1.600519610801199</v>
      </c>
      <c r="AM11" s="9">
        <v>6.0417498588412712</v>
      </c>
      <c r="AN11" s="9">
        <v>9.0037300859407985</v>
      </c>
      <c r="AO11" s="9">
        <v>9.5563291763921487</v>
      </c>
      <c r="AP11" s="9">
        <v>6.3884923318406539</v>
      </c>
      <c r="AQ11" s="9">
        <v>6.1950465009000171</v>
      </c>
      <c r="AR11" s="9">
        <v>1.2786902701737015</v>
      </c>
      <c r="AS11" s="9">
        <v>6.0501888112315561</v>
      </c>
      <c r="AT11" s="9">
        <v>9.3091118663753001</v>
      </c>
      <c r="AU11" s="9">
        <v>14.071765241193606</v>
      </c>
      <c r="AV11" s="9">
        <v>8.845731721704098</v>
      </c>
      <c r="AW11" s="9">
        <v>2.4726563971767379</v>
      </c>
      <c r="AX11" s="9">
        <v>0.66360980138602321</v>
      </c>
      <c r="AY11" s="9">
        <v>1.600735173517251</v>
      </c>
      <c r="AZ11" s="9">
        <v>6.1416605417357459</v>
      </c>
      <c r="BA11" s="9">
        <v>9.2473989770587313</v>
      </c>
      <c r="BB11" s="9">
        <v>9.7576703511581737</v>
      </c>
      <c r="BC11" s="9">
        <v>6.3904220895222759</v>
      </c>
      <c r="BD11" s="9">
        <v>6.1894447451069867</v>
      </c>
    </row>
    <row r="12" spans="1:61" x14ac:dyDescent="0.25">
      <c r="A12" s="53"/>
      <c r="B12" s="54"/>
      <c r="C12" s="111">
        <v>33.369100000000003</v>
      </c>
      <c r="D12" s="55"/>
      <c r="E12" s="55"/>
      <c r="F12" s="111">
        <v>13.743</v>
      </c>
      <c r="G12" s="112">
        <v>50</v>
      </c>
      <c r="H12" s="56"/>
      <c r="I12" s="56"/>
      <c r="J12" s="111">
        <v>2228.39</v>
      </c>
      <c r="K12" s="111">
        <v>2055.4699999999998</v>
      </c>
      <c r="L12" s="97">
        <v>7.9837870591589564</v>
      </c>
      <c r="M12" s="56">
        <v>447.98095870371225</v>
      </c>
      <c r="N12" s="11">
        <v>17.600459867348786</v>
      </c>
      <c r="O12" s="11">
        <v>1909.6292151219086</v>
      </c>
      <c r="P12" s="11">
        <v>128.24032501074251</v>
      </c>
      <c r="Q12" s="11">
        <v>3.0610704966238278</v>
      </c>
      <c r="R12" s="11">
        <v>1.9561251626258491</v>
      </c>
      <c r="S12" s="13">
        <v>12.819953100538815</v>
      </c>
      <c r="T12" s="14">
        <v>1025.2039250889334</v>
      </c>
      <c r="U12" s="91">
        <v>8.1232540370562614</v>
      </c>
      <c r="V12" s="12">
        <v>307.36018008130594</v>
      </c>
      <c r="W12" s="11">
        <v>16.177695190822934</v>
      </c>
      <c r="X12" s="11">
        <v>1914.4527432506261</v>
      </c>
      <c r="Y12" s="11">
        <v>124.83956155855078</v>
      </c>
      <c r="Z12" s="11">
        <v>3.006031783183944</v>
      </c>
      <c r="AA12" s="11">
        <v>1.8924767032599283</v>
      </c>
      <c r="AB12" s="13">
        <v>13.018243264651563</v>
      </c>
      <c r="AC12" s="14">
        <v>1026.3824820939217</v>
      </c>
      <c r="AD12" s="15">
        <v>4</v>
      </c>
      <c r="AE12" s="9">
        <v>1.4057355395626203</v>
      </c>
      <c r="AF12" s="9">
        <v>5.9483620241764728</v>
      </c>
      <c r="AG12" s="9">
        <v>9.1567114993943513</v>
      </c>
      <c r="AH12" s="9">
        <v>13.680110341385939</v>
      </c>
      <c r="AI12" s="9">
        <v>8.7300299740387999</v>
      </c>
      <c r="AJ12" s="9">
        <v>2.5472765488079681</v>
      </c>
      <c r="AK12" s="9">
        <v>0.82405206126264685</v>
      </c>
      <c r="AL12" s="9">
        <v>1.5993922595921362</v>
      </c>
      <c r="AM12" s="9">
        <v>6.0521145648616672</v>
      </c>
      <c r="AN12" s="9">
        <v>9.0324614128337899</v>
      </c>
      <c r="AO12" s="9">
        <v>9.5790900743647782</v>
      </c>
      <c r="AP12" s="9">
        <v>6.3863861466047354</v>
      </c>
      <c r="AQ12" s="9">
        <v>6.1919094547297364</v>
      </c>
      <c r="AR12" s="9">
        <v>1.278730953494555</v>
      </c>
      <c r="AS12" s="9">
        <v>6.0501260349303205</v>
      </c>
      <c r="AT12" s="9">
        <v>9.3089464529203543</v>
      </c>
      <c r="AU12" s="9">
        <v>14.07166372095088</v>
      </c>
      <c r="AV12" s="9">
        <v>8.8456436288184364</v>
      </c>
      <c r="AW12" s="9">
        <v>2.47252815078346</v>
      </c>
      <c r="AX12" s="9">
        <v>0.66343811066724989</v>
      </c>
      <c r="AY12" s="9">
        <v>1.6006947066566606</v>
      </c>
      <c r="AZ12" s="9">
        <v>6.1415839143287592</v>
      </c>
      <c r="BA12" s="9">
        <v>9.2474874171770693</v>
      </c>
      <c r="BB12" s="9">
        <v>9.7576336915878326</v>
      </c>
      <c r="BC12" s="9">
        <v>6.3901787584776288</v>
      </c>
      <c r="BD12" s="9">
        <v>6.1892157323068862</v>
      </c>
    </row>
    <row r="13" spans="1:61" x14ac:dyDescent="0.25">
      <c r="A13" s="53"/>
      <c r="B13" s="54"/>
      <c r="C13" s="111">
        <v>33.366700000000002</v>
      </c>
      <c r="D13" s="55"/>
      <c r="E13" s="55"/>
      <c r="F13" s="111">
        <v>13.698</v>
      </c>
      <c r="G13" s="112">
        <v>60</v>
      </c>
      <c r="H13" s="56"/>
      <c r="I13" s="56"/>
      <c r="J13" s="111">
        <v>2228.19</v>
      </c>
      <c r="K13" s="111">
        <v>2057.46</v>
      </c>
      <c r="L13" s="97">
        <v>7.9789597598419677</v>
      </c>
      <c r="M13" s="56">
        <v>453.14055823909592</v>
      </c>
      <c r="N13" s="11">
        <v>17.828283001740783</v>
      </c>
      <c r="O13" s="11">
        <v>1912.745631479866</v>
      </c>
      <c r="P13" s="11">
        <v>126.88608551839333</v>
      </c>
      <c r="Q13" s="11">
        <v>3.0234473579924335</v>
      </c>
      <c r="R13" s="11">
        <v>1.9321228013150509</v>
      </c>
      <c r="S13" s="13">
        <v>12.898353727300034</v>
      </c>
      <c r="T13" s="14">
        <v>1025.2559623309126</v>
      </c>
      <c r="U13" s="91">
        <v>8.1180068501116427</v>
      </c>
      <c r="V13" s="12">
        <v>311.59832312598581</v>
      </c>
      <c r="W13" s="11">
        <v>16.400998890218577</v>
      </c>
      <c r="X13" s="11">
        <v>1917.527683048447</v>
      </c>
      <c r="Y13" s="11">
        <v>123.53131806133447</v>
      </c>
      <c r="Z13" s="11">
        <v>2.9745679621318639</v>
      </c>
      <c r="AA13" s="11">
        <v>1.8726590375801946</v>
      </c>
      <c r="AB13" s="13">
        <v>13.09942593350795</v>
      </c>
      <c r="AC13" s="14">
        <v>1026.3805799329818</v>
      </c>
      <c r="AD13" s="15">
        <v>4</v>
      </c>
      <c r="AE13" s="9">
        <v>1.4051234159926378</v>
      </c>
      <c r="AF13" s="9">
        <v>5.9484120604417985</v>
      </c>
      <c r="AG13" s="9">
        <v>9.157202979146172</v>
      </c>
      <c r="AH13" s="9">
        <v>13.681713130690543</v>
      </c>
      <c r="AI13" s="9">
        <v>8.7300988089852023</v>
      </c>
      <c r="AJ13" s="9">
        <v>2.5467350314584123</v>
      </c>
      <c r="AK13" s="9">
        <v>0.82296468757487817</v>
      </c>
      <c r="AL13" s="9">
        <v>1.5991453284484127</v>
      </c>
      <c r="AM13" s="9">
        <v>6.0521488930259171</v>
      </c>
      <c r="AN13" s="9">
        <v>9.0330707318978583</v>
      </c>
      <c r="AO13" s="9">
        <v>9.5794484271394396</v>
      </c>
      <c r="AP13" s="9">
        <v>6.3856570738434177</v>
      </c>
      <c r="AQ13" s="9">
        <v>6.191189388169489</v>
      </c>
      <c r="AR13" s="9">
        <v>1.2787248126159356</v>
      </c>
      <c r="AS13" s="9">
        <v>6.050135506828064</v>
      </c>
      <c r="AT13" s="9">
        <v>9.3089714173158544</v>
      </c>
      <c r="AU13" s="9">
        <v>14.071679041508187</v>
      </c>
      <c r="AV13" s="9">
        <v>8.8456569228881516</v>
      </c>
      <c r="AW13" s="9">
        <v>2.4725475068693865</v>
      </c>
      <c r="AX13" s="9">
        <v>0.66346403284801092</v>
      </c>
      <c r="AY13" s="9">
        <v>1.6007008120510604</v>
      </c>
      <c r="AZ13" s="9">
        <v>6.1415954736091756</v>
      </c>
      <c r="BA13" s="9">
        <v>9.2474740414928753</v>
      </c>
      <c r="BB13" s="9">
        <v>9.7576392226926298</v>
      </c>
      <c r="BC13" s="9">
        <v>6.3902154826089639</v>
      </c>
      <c r="BD13" s="9">
        <v>6.1892502974537615</v>
      </c>
    </row>
    <row r="14" spans="1:61" x14ac:dyDescent="0.25">
      <c r="A14" s="53"/>
      <c r="B14" s="54"/>
      <c r="C14" s="111">
        <v>33.307400000000001</v>
      </c>
      <c r="D14" s="55"/>
      <c r="E14" s="55"/>
      <c r="F14" s="111">
        <v>16.123000000000001</v>
      </c>
      <c r="G14" s="112">
        <v>3</v>
      </c>
      <c r="H14" s="56"/>
      <c r="I14" s="56"/>
      <c r="J14" s="111">
        <v>2231.06</v>
      </c>
      <c r="K14" s="112">
        <v>2003</v>
      </c>
      <c r="L14" s="97">
        <v>8.0703496952487299</v>
      </c>
      <c r="M14" s="56">
        <v>358.40870640456706</v>
      </c>
      <c r="N14" s="11">
        <v>13.103811861413776</v>
      </c>
      <c r="O14" s="11">
        <v>1826.5114094144858</v>
      </c>
      <c r="P14" s="11">
        <v>163.38477872410036</v>
      </c>
      <c r="Q14" s="11">
        <v>3.9393784254743487</v>
      </c>
      <c r="R14" s="11">
        <v>2.528578326856278</v>
      </c>
      <c r="S14" s="13">
        <v>11.107124097807546</v>
      </c>
      <c r="T14" s="14">
        <v>1024.4322524698387</v>
      </c>
      <c r="U14" s="91">
        <v>8.2469691857183545</v>
      </c>
      <c r="V14" s="12">
        <v>221.34094262431799</v>
      </c>
      <c r="W14" s="11">
        <v>11.654366553259257</v>
      </c>
      <c r="X14" s="11">
        <v>1832.685280266161</v>
      </c>
      <c r="Y14" s="11">
        <v>158.66035318057965</v>
      </c>
      <c r="Z14" s="11">
        <v>3.8216479764373275</v>
      </c>
      <c r="AA14" s="11">
        <v>2.4056469722129976</v>
      </c>
      <c r="AB14" s="13">
        <v>11.269943933938785</v>
      </c>
      <c r="AC14" s="14">
        <v>1026.333581225656</v>
      </c>
      <c r="AD14" s="15">
        <v>4</v>
      </c>
      <c r="AE14" s="9">
        <v>1.4369809018694553</v>
      </c>
      <c r="AF14" s="9">
        <v>5.926124954903405</v>
      </c>
      <c r="AG14" s="9">
        <v>9.1187604903751058</v>
      </c>
      <c r="AH14" s="9">
        <v>13.581351831957079</v>
      </c>
      <c r="AI14" s="9">
        <v>8.7033619008845235</v>
      </c>
      <c r="AJ14" s="9">
        <v>2.5684417888781965</v>
      </c>
      <c r="AK14" s="9">
        <v>0.86738854647788399</v>
      </c>
      <c r="AL14" s="9">
        <v>1.601946441236014</v>
      </c>
      <c r="AM14" s="9">
        <v>6.0333136567870005</v>
      </c>
      <c r="AN14" s="9">
        <v>8.9786659817420098</v>
      </c>
      <c r="AO14" s="9">
        <v>9.5368928130338553</v>
      </c>
      <c r="AP14" s="9">
        <v>6.3915572936774883</v>
      </c>
      <c r="AQ14" s="9">
        <v>6.1990060027282272</v>
      </c>
      <c r="AR14" s="9">
        <v>1.2785730817400476</v>
      </c>
      <c r="AS14" s="9">
        <v>6.0503699674160591</v>
      </c>
      <c r="AT14" s="9">
        <v>9.3095886607262397</v>
      </c>
      <c r="AU14" s="9">
        <v>14.072057954537073</v>
      </c>
      <c r="AV14" s="9">
        <v>8.8459857326775264</v>
      </c>
      <c r="AW14" s="9">
        <v>2.4730259737114202</v>
      </c>
      <c r="AX14" s="9">
        <v>0.6641037827009898</v>
      </c>
      <c r="AY14" s="9">
        <v>1.6008519838216722</v>
      </c>
      <c r="AZ14" s="9">
        <v>6.1418818888222049</v>
      </c>
      <c r="BA14" s="9">
        <v>9.2471465149875893</v>
      </c>
      <c r="BB14" s="9">
        <v>9.7577761600117494</v>
      </c>
      <c r="BC14" s="9">
        <v>6.3911234495292071</v>
      </c>
      <c r="BD14" s="9">
        <v>6.1901046642752506</v>
      </c>
    </row>
    <row r="15" spans="1:61" x14ac:dyDescent="0.25">
      <c r="C15" s="111">
        <v>33.334499999999998</v>
      </c>
      <c r="F15" s="111">
        <v>15.23</v>
      </c>
      <c r="G15" s="112">
        <v>30</v>
      </c>
      <c r="J15" s="111">
        <v>2228.87</v>
      </c>
      <c r="K15" s="111">
        <v>2017.75</v>
      </c>
      <c r="L15" s="91">
        <v>8.047818296861692</v>
      </c>
      <c r="M15" s="12">
        <v>379.31424216282147</v>
      </c>
      <c r="N15" s="11">
        <v>14.242283686102661</v>
      </c>
      <c r="O15" s="11">
        <v>1851.2274192650038</v>
      </c>
      <c r="P15" s="11">
        <v>152.28029704889357</v>
      </c>
      <c r="Q15" s="11">
        <v>3.651875110567445</v>
      </c>
      <c r="R15" s="11">
        <v>2.3402786320677853</v>
      </c>
      <c r="S15" s="13">
        <v>11.576045299766291</v>
      </c>
      <c r="T15" s="14">
        <v>1024.7721436591341</v>
      </c>
      <c r="U15" s="91">
        <v>8.2109810864784372</v>
      </c>
      <c r="V15" s="12">
        <v>243.61447729875445</v>
      </c>
      <c r="W15" s="11">
        <v>12.825097371954467</v>
      </c>
      <c r="X15" s="11">
        <v>1856.8594823560472</v>
      </c>
      <c r="Y15" s="11">
        <v>148.06542027199831</v>
      </c>
      <c r="Z15" s="11">
        <v>3.5659400975953903</v>
      </c>
      <c r="AA15" s="11">
        <v>2.2448111672343245</v>
      </c>
      <c r="AB15" s="13">
        <v>11.744346744857822</v>
      </c>
      <c r="AC15" s="14">
        <v>1026.355059431864</v>
      </c>
      <c r="AD15" s="15">
        <v>4</v>
      </c>
      <c r="AE15" s="9">
        <v>1.4254195174717958</v>
      </c>
      <c r="AF15" s="9">
        <v>5.9339381547486196</v>
      </c>
      <c r="AG15" s="9">
        <v>9.132634355715977</v>
      </c>
      <c r="AH15" s="9">
        <v>13.617809596277247</v>
      </c>
      <c r="AI15" s="9">
        <v>8.7128249742011459</v>
      </c>
      <c r="AJ15" s="9">
        <v>2.5603347796429232</v>
      </c>
      <c r="AK15" s="9">
        <v>0.8509487055204048</v>
      </c>
      <c r="AL15" s="9">
        <v>1.6007037270428137</v>
      </c>
      <c r="AM15" s="9">
        <v>6.0398568625637949</v>
      </c>
      <c r="AN15" s="9">
        <v>8.9983455143106355</v>
      </c>
      <c r="AO15" s="9">
        <v>9.5521022592535019</v>
      </c>
      <c r="AP15" s="9">
        <v>6.3888601746875979</v>
      </c>
      <c r="AQ15" s="9">
        <v>6.195611825194157</v>
      </c>
      <c r="AR15" s="9">
        <v>1.2786424224944584</v>
      </c>
      <c r="AS15" s="9">
        <v>6.0502627177732125</v>
      </c>
      <c r="AT15" s="9">
        <v>9.3093064825969254</v>
      </c>
      <c r="AU15" s="9">
        <v>14.071884704206257</v>
      </c>
      <c r="AV15" s="9">
        <v>8.845835387121328</v>
      </c>
      <c r="AW15" s="9">
        <v>2.4728072650075226</v>
      </c>
      <c r="AX15" s="9">
        <v>0.66381159530409473</v>
      </c>
      <c r="AY15" s="9">
        <v>1.6007828227789731</v>
      </c>
      <c r="AZ15" s="9">
        <v>6.1417508055433494</v>
      </c>
      <c r="BA15" s="9">
        <v>9.247295486686852</v>
      </c>
      <c r="BB15" s="9">
        <v>9.7577135147578922</v>
      </c>
      <c r="BC15" s="9">
        <v>6.3907083729269898</v>
      </c>
      <c r="BD15" s="9">
        <v>6.1897141436863876</v>
      </c>
    </row>
    <row r="16" spans="1:61" x14ac:dyDescent="0.25">
      <c r="C16" s="111">
        <v>33.316499999999998</v>
      </c>
      <c r="F16" s="111">
        <v>14.481</v>
      </c>
      <c r="G16" s="112">
        <v>50</v>
      </c>
      <c r="J16" s="111">
        <v>2227.3000000000002</v>
      </c>
      <c r="K16" s="111">
        <v>2028.62</v>
      </c>
      <c r="L16" s="91">
        <v>8.0321316951300776</v>
      </c>
      <c r="M16" s="12">
        <v>394.35658302956517</v>
      </c>
      <c r="N16" s="11">
        <v>15.149794745396338</v>
      </c>
      <c r="O16" s="11">
        <v>1869.2640967098523</v>
      </c>
      <c r="P16" s="11">
        <v>144.20610854475089</v>
      </c>
      <c r="Q16" s="11">
        <v>3.4450044791321011</v>
      </c>
      <c r="R16" s="11">
        <v>2.2046051934298321</v>
      </c>
      <c r="S16" s="13">
        <v>11.955153709548211</v>
      </c>
      <c r="T16" s="14">
        <v>1025.0089544654186</v>
      </c>
      <c r="U16" s="91">
        <v>8.1839919916053248</v>
      </c>
      <c r="V16" s="12">
        <v>261.70373407962063</v>
      </c>
      <c r="W16" s="11">
        <v>13.778868437138895</v>
      </c>
      <c r="X16" s="11">
        <v>1874.4402892108671</v>
      </c>
      <c r="Y16" s="11">
        <v>140.40084235199367</v>
      </c>
      <c r="Z16" s="11">
        <v>3.3816698838376138</v>
      </c>
      <c r="AA16" s="11">
        <v>2.1287304953483455</v>
      </c>
      <c r="AB16" s="13">
        <v>12.126001462843126</v>
      </c>
      <c r="AC16" s="14">
        <v>1026.3407934414195</v>
      </c>
      <c r="AD16" s="15">
        <v>4</v>
      </c>
      <c r="AE16" s="9">
        <v>1.4154823460311032</v>
      </c>
      <c r="AF16" s="9">
        <v>5.9408677795553277</v>
      </c>
      <c r="AG16" s="9">
        <v>9.1448187022037555</v>
      </c>
      <c r="AH16" s="9">
        <v>13.64900178156625</v>
      </c>
      <c r="AI16" s="9">
        <v>8.7211720715759693</v>
      </c>
      <c r="AJ16" s="9">
        <v>2.553877299985825</v>
      </c>
      <c r="AK16" s="9">
        <v>0.83745675113007356</v>
      </c>
      <c r="AL16" s="9">
        <v>1.5998961323211895</v>
      </c>
      <c r="AM16" s="9">
        <v>6.0457901136156558</v>
      </c>
      <c r="AN16" s="9">
        <v>9.0149304941944006</v>
      </c>
      <c r="AO16" s="9">
        <v>9.5652212429589039</v>
      </c>
      <c r="AP16" s="9">
        <v>6.3874286808410101</v>
      </c>
      <c r="AQ16" s="9">
        <v>6.1935697160896943</v>
      </c>
      <c r="AR16" s="9">
        <v>1.2785963659048127</v>
      </c>
      <c r="AS16" s="9">
        <v>6.0503339346360505</v>
      </c>
      <c r="AT16" s="9">
        <v>9.3094938886137619</v>
      </c>
      <c r="AU16" s="9">
        <v>14.071999761749179</v>
      </c>
      <c r="AV16" s="9">
        <v>8.8459352326077845</v>
      </c>
      <c r="AW16" s="9">
        <v>2.4729525233576428</v>
      </c>
      <c r="AX16" s="9">
        <v>0.66400570131131642</v>
      </c>
      <c r="AY16" s="9">
        <v>1.6008287457640178</v>
      </c>
      <c r="AZ16" s="9">
        <v>6.1418378358584693</v>
      </c>
      <c r="BA16" s="9">
        <v>9.2471964058155098</v>
      </c>
      <c r="BB16" s="9">
        <v>9.7577551119165733</v>
      </c>
      <c r="BC16" s="9">
        <v>6.3909840437582792</v>
      </c>
      <c r="BD16" s="9">
        <v>6.1899735156732074</v>
      </c>
    </row>
    <row r="17" spans="3:56" x14ac:dyDescent="0.25">
      <c r="C17" s="111">
        <v>33.433999999999997</v>
      </c>
      <c r="F17" s="111">
        <v>10.215999999999999</v>
      </c>
      <c r="G17" s="112">
        <v>100</v>
      </c>
      <c r="J17" s="111">
        <v>2224.67</v>
      </c>
      <c r="K17" s="111">
        <v>2116.5300000000002</v>
      </c>
      <c r="L17" s="91">
        <v>7.8653928022877704</v>
      </c>
      <c r="M17" s="12">
        <v>598.20956204803417</v>
      </c>
      <c r="N17" s="11">
        <v>26.298445347608535</v>
      </c>
      <c r="O17" s="11">
        <v>2000.7029670436289</v>
      </c>
      <c r="P17" s="11">
        <v>89.528587608762805</v>
      </c>
      <c r="Q17" s="11">
        <v>2.1135667806151481</v>
      </c>
      <c r="R17" s="11">
        <v>1.3426784864275605</v>
      </c>
      <c r="S17" s="13">
        <v>15.566157507854395</v>
      </c>
      <c r="T17" s="14">
        <v>1026.1458148506219</v>
      </c>
      <c r="U17" s="91">
        <v>7.9499227591056894</v>
      </c>
      <c r="V17" s="12">
        <v>479.33419040571658</v>
      </c>
      <c r="W17" s="11">
        <v>25.219785865861539</v>
      </c>
      <c r="X17" s="11">
        <v>2003.520297525492</v>
      </c>
      <c r="Y17" s="11">
        <v>87.789916608646564</v>
      </c>
      <c r="Z17" s="11">
        <v>2.1131844989767852</v>
      </c>
      <c r="AA17" s="11">
        <v>1.3305538868011551</v>
      </c>
      <c r="AB17" s="13">
        <v>15.782142010893844</v>
      </c>
      <c r="AC17" s="14">
        <v>1026.4339203167883</v>
      </c>
      <c r="AD17" s="15">
        <v>4</v>
      </c>
      <c r="AE17" s="9">
        <v>1.3569232751037799</v>
      </c>
      <c r="AF17" s="9">
        <v>5.9841402616934154</v>
      </c>
      <c r="AG17" s="9">
        <v>9.2146136853112655</v>
      </c>
      <c r="AH17" s="9">
        <v>13.831367213913273</v>
      </c>
      <c r="AI17" s="9">
        <v>8.7715921714932392</v>
      </c>
      <c r="AJ17" s="9">
        <v>2.5158734658639617</v>
      </c>
      <c r="AK17" s="9">
        <v>0.75835935578828917</v>
      </c>
      <c r="AL17" s="9">
        <v>1.5970635682394583</v>
      </c>
      <c r="AM17" s="9">
        <v>6.083001517035151</v>
      </c>
      <c r="AN17" s="9">
        <v>9.1146588503265598</v>
      </c>
      <c r="AO17" s="9">
        <v>9.6450219171710092</v>
      </c>
      <c r="AP17" s="9">
        <v>6.3807478216400497</v>
      </c>
      <c r="AQ17" s="9">
        <v>6.1837038775415047</v>
      </c>
      <c r="AR17" s="9">
        <v>1.2788970130872217</v>
      </c>
      <c r="AS17" s="9">
        <v>6.0498704072872505</v>
      </c>
      <c r="AT17" s="9">
        <v>9.3082718692137121</v>
      </c>
      <c r="AU17" s="9">
        <v>14.071249865535126</v>
      </c>
      <c r="AV17" s="9">
        <v>8.8452845350502578</v>
      </c>
      <c r="AW17" s="9">
        <v>2.4720049804174744</v>
      </c>
      <c r="AX17" s="9">
        <v>0.66273623905463019</v>
      </c>
      <c r="AY17" s="9">
        <v>1.6005299850989738</v>
      </c>
      <c r="AZ17" s="9">
        <v>6.1412722908770352</v>
      </c>
      <c r="BA17" s="9">
        <v>9.2478526500201799</v>
      </c>
      <c r="BB17" s="9">
        <v>9.7574844464869699</v>
      </c>
      <c r="BC17" s="9">
        <v>6.3891863602089947</v>
      </c>
      <c r="BD17" s="9">
        <v>6.1882814118639686</v>
      </c>
    </row>
    <row r="18" spans="3:56" x14ac:dyDescent="0.25">
      <c r="C18" s="111">
        <v>33.8583</v>
      </c>
      <c r="F18" s="111">
        <v>9.4979999999999993</v>
      </c>
      <c r="G18" s="112">
        <v>170</v>
      </c>
      <c r="J18" s="111">
        <v>2248.13</v>
      </c>
      <c r="K18" s="111">
        <v>2185.13</v>
      </c>
      <c r="L18" s="91">
        <v>7.7280641517588506</v>
      </c>
      <c r="M18" s="12">
        <v>841.70204838754728</v>
      </c>
      <c r="N18" s="11">
        <v>37.801503216987342</v>
      </c>
      <c r="O18" s="11">
        <v>2080.3850654090661</v>
      </c>
      <c r="P18" s="11">
        <v>66.943431373946311</v>
      </c>
      <c r="Q18" s="11">
        <v>1.5557735962648818</v>
      </c>
      <c r="R18" s="11">
        <v>0.98877864339137245</v>
      </c>
      <c r="S18" s="13">
        <v>17.548233287548292</v>
      </c>
      <c r="T18" s="14">
        <v>1026.9151679979248</v>
      </c>
      <c r="U18" s="91">
        <v>7.8022294858355394</v>
      </c>
      <c r="V18" s="12">
        <v>699.24249069608027</v>
      </c>
      <c r="W18" s="11">
        <v>36.698231996881432</v>
      </c>
      <c r="X18" s="11">
        <v>2082.8178983942316</v>
      </c>
      <c r="Y18" s="11">
        <v>65.613869608886873</v>
      </c>
      <c r="Z18" s="11">
        <v>1.5758292660872715</v>
      </c>
      <c r="AA18" s="11">
        <v>0.99304611793785513</v>
      </c>
      <c r="AB18" s="13">
        <v>17.827546168570056</v>
      </c>
      <c r="AC18" s="14">
        <v>1026.7702402521381</v>
      </c>
      <c r="AD18" s="15">
        <v>4</v>
      </c>
      <c r="AE18" s="9">
        <v>1.3476493137246239</v>
      </c>
      <c r="AF18" s="9">
        <v>5.9874294947046147</v>
      </c>
      <c r="AG18" s="9">
        <v>9.2204999095977325</v>
      </c>
      <c r="AH18" s="9">
        <v>13.857907145866381</v>
      </c>
      <c r="AI18" s="9">
        <v>8.7748015339703116</v>
      </c>
      <c r="AJ18" s="9">
        <v>2.5049916092855042</v>
      </c>
      <c r="AK18" s="9">
        <v>0.73868522558333172</v>
      </c>
      <c r="AL18" s="9">
        <v>1.5941260327624878</v>
      </c>
      <c r="AM18" s="9">
        <v>6.0851514523496899</v>
      </c>
      <c r="AN18" s="9">
        <v>9.1309290977238611</v>
      </c>
      <c r="AO18" s="9">
        <v>9.6547334878818809</v>
      </c>
      <c r="AP18" s="9">
        <v>6.3684551968264485</v>
      </c>
      <c r="AQ18" s="9">
        <v>6.171607877747241</v>
      </c>
      <c r="AR18" s="9">
        <v>1.2799826692531466</v>
      </c>
      <c r="AS18" s="9">
        <v>6.0482233266098655</v>
      </c>
      <c r="AT18" s="9">
        <v>9.3038851356676542</v>
      </c>
      <c r="AU18" s="9">
        <v>14.068564844545916</v>
      </c>
      <c r="AV18" s="9">
        <v>8.8429557976840858</v>
      </c>
      <c r="AW18" s="9">
        <v>2.4685964351206922</v>
      </c>
      <c r="AX18" s="9">
        <v>0.65810434227587078</v>
      </c>
      <c r="AY18" s="9">
        <v>1.5994709318683975</v>
      </c>
      <c r="AZ18" s="9">
        <v>6.1392802045760533</v>
      </c>
      <c r="BA18" s="9">
        <v>9.2504070782637431</v>
      </c>
      <c r="BB18" s="9">
        <v>9.756524057476776</v>
      </c>
      <c r="BC18" s="9">
        <v>6.3827302804383628</v>
      </c>
      <c r="BD18" s="9">
        <v>6.1821905365446632</v>
      </c>
    </row>
    <row r="19" spans="3:56" x14ac:dyDescent="0.25">
      <c r="C19" s="111">
        <v>34.057099999999998</v>
      </c>
      <c r="F19" s="111">
        <v>8.8580000000000005</v>
      </c>
      <c r="G19" s="112">
        <v>230</v>
      </c>
      <c r="J19" s="111">
        <v>2264.62</v>
      </c>
      <c r="K19" s="111">
        <v>2217.13</v>
      </c>
      <c r="L19" s="91">
        <v>7.6814368474407653</v>
      </c>
      <c r="M19" s="12">
        <v>941.27252422255265</v>
      </c>
      <c r="N19" s="11">
        <v>43.140380001507864</v>
      </c>
      <c r="O19" s="11">
        <v>2113.8993603708714</v>
      </c>
      <c r="P19" s="11">
        <v>60.090259627620604</v>
      </c>
      <c r="Q19" s="11">
        <v>1.3789592546722362</v>
      </c>
      <c r="R19" s="11">
        <v>0.87644744945344388</v>
      </c>
      <c r="S19" s="13">
        <v>18.114485482067632</v>
      </c>
      <c r="T19" s="14">
        <v>1027.4474745044247</v>
      </c>
      <c r="U19" s="91">
        <v>7.747761578201521</v>
      </c>
      <c r="V19" s="12">
        <v>804.79265788518728</v>
      </c>
      <c r="W19" s="11">
        <v>42.188362303138618</v>
      </c>
      <c r="X19" s="11">
        <v>2115.8663318479807</v>
      </c>
      <c r="Y19" s="11">
        <v>59.075305848880646</v>
      </c>
      <c r="Z19" s="11">
        <v>1.4172803305803228</v>
      </c>
      <c r="AA19" s="11">
        <v>0.89346689868884799</v>
      </c>
      <c r="AB19" s="13">
        <v>18.369859103349011</v>
      </c>
      <c r="AC19" s="14">
        <v>1026.9278362403002</v>
      </c>
      <c r="AD19" s="15">
        <v>4</v>
      </c>
      <c r="AE19" s="9">
        <v>1.3388314155411494</v>
      </c>
      <c r="AF19" s="9">
        <v>5.9912365063575912</v>
      </c>
      <c r="AG19" s="9">
        <v>9.2277170743430084</v>
      </c>
      <c r="AH19" s="9">
        <v>13.883054507036904</v>
      </c>
      <c r="AI19" s="9">
        <v>8.7788218305610322</v>
      </c>
      <c r="AJ19" s="9">
        <v>2.4967584688807065</v>
      </c>
      <c r="AK19" s="9">
        <v>0.72275110326886327</v>
      </c>
      <c r="AL19" s="9">
        <v>1.5921107783797155</v>
      </c>
      <c r="AM19" s="9">
        <v>6.0881900780569369</v>
      </c>
      <c r="AN19" s="9">
        <v>9.1448894691479765</v>
      </c>
      <c r="AO19" s="9">
        <v>9.6640204650015953</v>
      </c>
      <c r="AP19" s="9">
        <v>6.3604216074131203</v>
      </c>
      <c r="AQ19" s="9">
        <v>6.163596055059541</v>
      </c>
      <c r="AR19" s="9">
        <v>1.2804913386987886</v>
      </c>
      <c r="AS19" s="9">
        <v>6.0474660171432415</v>
      </c>
      <c r="AT19" s="9">
        <v>9.301843827456473</v>
      </c>
      <c r="AU19" s="9">
        <v>14.067319020122746</v>
      </c>
      <c r="AV19" s="9">
        <v>8.8418759275843168</v>
      </c>
      <c r="AW19" s="9">
        <v>2.4670063821338468</v>
      </c>
      <c r="AX19" s="9">
        <v>0.65590765252194494</v>
      </c>
      <c r="AY19" s="9">
        <v>1.5989852742695705</v>
      </c>
      <c r="AZ19" s="9">
        <v>6.1383735578481931</v>
      </c>
      <c r="BA19" s="9">
        <v>9.251702350684516</v>
      </c>
      <c r="BB19" s="9">
        <v>9.7560831383827775</v>
      </c>
      <c r="BC19" s="9">
        <v>6.3797240351056956</v>
      </c>
      <c r="BD19" s="9">
        <v>6.1793467425270023</v>
      </c>
    </row>
    <row r="20" spans="3:56" x14ac:dyDescent="0.25">
      <c r="C20" s="111">
        <v>34.170699999999997</v>
      </c>
      <c r="F20" s="111">
        <v>7.99</v>
      </c>
      <c r="G20" s="112">
        <v>320</v>
      </c>
      <c r="J20" s="111">
        <v>2281.3200000000002</v>
      </c>
      <c r="K20" s="111">
        <v>2254.77</v>
      </c>
      <c r="L20" s="91">
        <v>7.6184815420182481</v>
      </c>
      <c r="M20" s="12">
        <v>1089.7695009898976</v>
      </c>
      <c r="N20" s="11">
        <v>51.406014988666286</v>
      </c>
      <c r="O20" s="11">
        <v>2151.7958227336962</v>
      </c>
      <c r="P20" s="11">
        <v>51.568162277636944</v>
      </c>
      <c r="Q20" s="11">
        <v>1.1621488014203203</v>
      </c>
      <c r="R20" s="11">
        <v>0.73860481604899064</v>
      </c>
      <c r="S20" s="13">
        <v>18.642620319961239</v>
      </c>
      <c r="T20" s="14">
        <v>1028.0821741027803</v>
      </c>
      <c r="U20" s="91">
        <v>7.6749633998878037</v>
      </c>
      <c r="V20" s="12">
        <v>968.09184254982017</v>
      </c>
      <c r="W20" s="11">
        <v>50.714780913149262</v>
      </c>
      <c r="X20" s="11">
        <v>2153.0819400196328</v>
      </c>
      <c r="Y20" s="11">
        <v>50.973279067217717</v>
      </c>
      <c r="Z20" s="11">
        <v>1.222153992617605</v>
      </c>
      <c r="AA20" s="11">
        <v>0.77061770617984537</v>
      </c>
      <c r="AB20" s="13">
        <v>18.83792305885957</v>
      </c>
      <c r="AC20" s="14">
        <v>1027.0178962487246</v>
      </c>
      <c r="AD20" s="15">
        <v>4</v>
      </c>
      <c r="AE20" s="9">
        <v>1.3263207107659327</v>
      </c>
      <c r="AF20" s="9">
        <v>5.9966944204519042</v>
      </c>
      <c r="AG20" s="9">
        <v>9.2389009472711052</v>
      </c>
      <c r="AH20" s="9">
        <v>13.918148763953612</v>
      </c>
      <c r="AI20" s="9">
        <v>8.7847154004014882</v>
      </c>
      <c r="AJ20" s="9">
        <v>2.4866459975441559</v>
      </c>
      <c r="AK20" s="9">
        <v>0.70218505067808246</v>
      </c>
      <c r="AL20" s="9">
        <v>1.5896244219050151</v>
      </c>
      <c r="AM20" s="9">
        <v>6.0928498416714962</v>
      </c>
      <c r="AN20" s="9">
        <v>9.1627048853955699</v>
      </c>
      <c r="AO20" s="9">
        <v>9.6766373899231635</v>
      </c>
      <c r="AP20" s="9">
        <v>6.3511081267393354</v>
      </c>
      <c r="AQ20" s="9">
        <v>6.1542585232286511</v>
      </c>
      <c r="AR20" s="9">
        <v>1.280782006953441</v>
      </c>
      <c r="AS20" s="9">
        <v>6.0470373954502774</v>
      </c>
      <c r="AT20" s="9">
        <v>9.3006813857292698</v>
      </c>
      <c r="AU20" s="9">
        <v>14.066610579447223</v>
      </c>
      <c r="AV20" s="9">
        <v>8.8412620554062595</v>
      </c>
      <c r="AW20" s="9">
        <v>2.4660997560747564</v>
      </c>
      <c r="AX20" s="9">
        <v>0.65464461019135223</v>
      </c>
      <c r="AY20" s="9">
        <v>1.5987107446937592</v>
      </c>
      <c r="AZ20" s="9">
        <v>6.1378630457459797</v>
      </c>
      <c r="BA20" s="9">
        <v>9.2524704005873613</v>
      </c>
      <c r="BB20" s="9">
        <v>9.7558337508721404</v>
      </c>
      <c r="BC20" s="9">
        <v>6.3780114015469387</v>
      </c>
      <c r="BD20" s="9">
        <v>6.177724454061388</v>
      </c>
    </row>
    <row r="21" spans="3:56" x14ac:dyDescent="0.25">
      <c r="C21" s="111">
        <v>34.258000000000003</v>
      </c>
      <c r="F21" s="111">
        <v>6.2530000000000001</v>
      </c>
      <c r="G21" s="112">
        <v>515</v>
      </c>
      <c r="J21" s="111">
        <v>2309.4699999999998</v>
      </c>
      <c r="K21" s="111">
        <v>2309.9899999999998</v>
      </c>
      <c r="L21" s="91">
        <v>7.5425389797750846</v>
      </c>
      <c r="M21" s="12">
        <v>1284.4767727848966</v>
      </c>
      <c r="N21" s="11">
        <v>64.322106105147739</v>
      </c>
      <c r="O21" s="11">
        <v>2203.6668898097723</v>
      </c>
      <c r="P21" s="11">
        <v>42.001004085079614</v>
      </c>
      <c r="Q21" s="11">
        <v>0.9100223336298876</v>
      </c>
      <c r="R21" s="11">
        <v>0.57839608148745281</v>
      </c>
      <c r="S21" s="13">
        <v>18.853743248215252</v>
      </c>
      <c r="T21" s="14">
        <v>1029.2946840880195</v>
      </c>
      <c r="U21" s="91">
        <v>7.5818948178832297</v>
      </c>
      <c r="V21" s="12">
        <v>1227.2735600431231</v>
      </c>
      <c r="W21" s="11">
        <v>64.25930093254027</v>
      </c>
      <c r="X21" s="11">
        <v>2203.5391437146272</v>
      </c>
      <c r="Y21" s="11">
        <v>42.191555352831884</v>
      </c>
      <c r="Z21" s="11">
        <v>1.0111217111766995</v>
      </c>
      <c r="AA21" s="11">
        <v>0.63765341328110381</v>
      </c>
      <c r="AB21" s="13">
        <v>18.872070596033119</v>
      </c>
      <c r="AC21" s="14">
        <v>1027.0871086574357</v>
      </c>
      <c r="AD21" s="15">
        <v>4</v>
      </c>
      <c r="AE21" s="9">
        <v>1.3003659991981196</v>
      </c>
      <c r="AF21" s="9">
        <v>6.0077532894779848</v>
      </c>
      <c r="AG21" s="9">
        <v>9.2624252533332729</v>
      </c>
      <c r="AH21" s="9">
        <v>13.989611142395919</v>
      </c>
      <c r="AI21" s="9">
        <v>8.7965726477826394</v>
      </c>
      <c r="AJ21" s="9">
        <v>2.4671216604045507</v>
      </c>
      <c r="AK21" s="9">
        <v>0.66129084907318025</v>
      </c>
      <c r="AL21" s="9">
        <v>1.5847497150265668</v>
      </c>
      <c r="AM21" s="9">
        <v>6.1025983160201758</v>
      </c>
      <c r="AN21" s="9">
        <v>9.1970981683396289</v>
      </c>
      <c r="AO21" s="9">
        <v>9.7017925424556122</v>
      </c>
      <c r="AP21" s="9">
        <v>6.3329122914658926</v>
      </c>
      <c r="AQ21" s="9">
        <v>6.1360855826669081</v>
      </c>
      <c r="AR21" s="9">
        <v>1.2810053814132225</v>
      </c>
      <c r="AS21" s="9">
        <v>6.0467100447682336</v>
      </c>
      <c r="AT21" s="9">
        <v>9.299790052070696</v>
      </c>
      <c r="AU21" s="9">
        <v>14.066067852212104</v>
      </c>
      <c r="AV21" s="9">
        <v>8.8407918776392087</v>
      </c>
      <c r="AW21" s="9">
        <v>2.4654039971375274</v>
      </c>
      <c r="AX21" s="9">
        <v>0.65367007500282059</v>
      </c>
      <c r="AY21" s="9">
        <v>1.59850124113878</v>
      </c>
      <c r="AZ21" s="9">
        <v>6.1374744444742353</v>
      </c>
      <c r="BA21" s="9">
        <v>9.253074340894301</v>
      </c>
      <c r="BB21" s="9">
        <v>9.7556433607167445</v>
      </c>
      <c r="BC21" s="9">
        <v>6.3766978137608721</v>
      </c>
      <c r="BD21" s="9">
        <v>6.1764790666959613</v>
      </c>
    </row>
    <row r="22" spans="3:56" x14ac:dyDescent="0.25">
      <c r="C22" s="111">
        <v>33.217300000000002</v>
      </c>
      <c r="F22" s="111">
        <v>15.345000000000001</v>
      </c>
      <c r="G22" s="112">
        <v>2</v>
      </c>
      <c r="J22" s="111">
        <v>2224.2399999999998</v>
      </c>
      <c r="K22" s="111">
        <v>2005.23</v>
      </c>
      <c r="L22" s="91">
        <v>8.0658579666518957</v>
      </c>
      <c r="M22" s="12">
        <v>361.99727985061708</v>
      </c>
      <c r="N22" s="11">
        <v>13.553839867233592</v>
      </c>
      <c r="O22" s="11">
        <v>1834.4193535190254</v>
      </c>
      <c r="P22" s="11">
        <v>157.25680661374082</v>
      </c>
      <c r="Q22" s="11">
        <v>3.7923627003192855</v>
      </c>
      <c r="R22" s="11">
        <v>2.4295306605653124</v>
      </c>
      <c r="S22" s="13">
        <v>11.343691629162469</v>
      </c>
      <c r="T22" s="14">
        <v>1024.5322729761135</v>
      </c>
      <c r="U22" s="91">
        <v>8.2301091582011718</v>
      </c>
      <c r="V22" s="12">
        <v>231.10715884617039</v>
      </c>
      <c r="W22" s="11">
        <v>12.175052864279669</v>
      </c>
      <c r="X22" s="11">
        <v>1840.145830950062</v>
      </c>
      <c r="Y22" s="11">
        <v>152.90911618565804</v>
      </c>
      <c r="Z22" s="11">
        <v>3.684859400882794</v>
      </c>
      <c r="AA22" s="11">
        <v>2.3191015072955716</v>
      </c>
      <c r="AB22" s="13">
        <v>11.503490877575146</v>
      </c>
      <c r="AC22" s="14">
        <v>1026.2621736294057</v>
      </c>
      <c r="AD22" s="15">
        <v>4</v>
      </c>
      <c r="AE22" s="9">
        <v>1.4266429568020236</v>
      </c>
      <c r="AF22" s="9">
        <v>5.9344216933380878</v>
      </c>
      <c r="AG22" s="9">
        <v>9.1327471380199334</v>
      </c>
      <c r="AH22" s="9">
        <v>13.614751542790271</v>
      </c>
      <c r="AI22" s="9">
        <v>8.7134834735441729</v>
      </c>
      <c r="AJ22" s="9">
        <v>2.5627496412321777</v>
      </c>
      <c r="AK22" s="9">
        <v>0.85480660150874532</v>
      </c>
      <c r="AL22" s="9">
        <v>1.6017794097811389</v>
      </c>
      <c r="AM22" s="9">
        <v>6.040578276616535</v>
      </c>
      <c r="AN22" s="9">
        <v>8.9965384098652148</v>
      </c>
      <c r="AO22" s="9">
        <v>9.5516375130803688</v>
      </c>
      <c r="AP22" s="9">
        <v>6.3928180038547673</v>
      </c>
      <c r="AQ22" s="9">
        <v>6.1994305216312213</v>
      </c>
      <c r="AR22" s="9">
        <v>1.2783425429218771</v>
      </c>
      <c r="AS22" s="9">
        <v>6.0507277717378924</v>
      </c>
      <c r="AT22" s="9">
        <v>9.3105280221744842</v>
      </c>
      <c r="AU22" s="9">
        <v>14.072635027784358</v>
      </c>
      <c r="AV22" s="9">
        <v>8.8464865598882572</v>
      </c>
      <c r="AW22" s="9">
        <v>2.4737537280850481</v>
      </c>
      <c r="AX22" s="9">
        <v>0.66507309322833852</v>
      </c>
      <c r="AY22" s="9">
        <v>1.6010828444578622</v>
      </c>
      <c r="AZ22" s="9">
        <v>6.1423200332038457</v>
      </c>
      <c r="BA22" s="9">
        <v>9.2466598044371668</v>
      </c>
      <c r="BB22" s="9">
        <v>9.7579852281078789</v>
      </c>
      <c r="BC22" s="9">
        <v>6.3925051332204799</v>
      </c>
      <c r="BD22" s="9">
        <v>6.1914039697701426</v>
      </c>
    </row>
    <row r="23" spans="3:56" x14ac:dyDescent="0.25">
      <c r="C23" s="111">
        <v>33.2027</v>
      </c>
      <c r="F23" s="111">
        <v>14.722</v>
      </c>
      <c r="G23" s="112">
        <v>29</v>
      </c>
      <c r="J23" s="111">
        <v>2220.83</v>
      </c>
      <c r="K23" s="111">
        <v>2010.47</v>
      </c>
      <c r="L23" s="91">
        <v>8.056886965114213</v>
      </c>
      <c r="M23" s="12">
        <v>369.16584867311383</v>
      </c>
      <c r="N23" s="11">
        <v>14.087002195562636</v>
      </c>
      <c r="O23" s="11">
        <v>1844.9230080189836</v>
      </c>
      <c r="P23" s="11">
        <v>151.4599897854537</v>
      </c>
      <c r="Q23" s="11">
        <v>3.6346054278075868</v>
      </c>
      <c r="R23" s="11">
        <v>2.326002652909744</v>
      </c>
      <c r="S23" s="13">
        <v>11.587740678962943</v>
      </c>
      <c r="T23" s="14">
        <v>1024.7762913117117</v>
      </c>
      <c r="U23" s="91">
        <v>8.2121614919852686</v>
      </c>
      <c r="V23" s="12">
        <v>242.19059608290848</v>
      </c>
      <c r="W23" s="11">
        <v>12.760041597687296</v>
      </c>
      <c r="X23" s="11">
        <v>1850.2382425175338</v>
      </c>
      <c r="Y23" s="11">
        <v>147.47171588477883</v>
      </c>
      <c r="Z23" s="11">
        <v>3.5540986906975207</v>
      </c>
      <c r="AA23" s="11">
        <v>2.2367367041392567</v>
      </c>
      <c r="AB23" s="13">
        <v>11.746387190899027</v>
      </c>
      <c r="AC23" s="14">
        <v>1026.2506028032769</v>
      </c>
      <c r="AD23" s="15">
        <v>4</v>
      </c>
      <c r="AE23" s="9">
        <v>1.4184029355816505</v>
      </c>
      <c r="AF23" s="9">
        <v>5.9397273004268643</v>
      </c>
      <c r="AG23" s="9">
        <v>9.1425672888920388</v>
      </c>
      <c r="AH23" s="9">
        <v>13.6402993240805</v>
      </c>
      <c r="AI23" s="9">
        <v>8.7198996699742928</v>
      </c>
      <c r="AJ23" s="9">
        <v>2.5571916017690914</v>
      </c>
      <c r="AK23" s="9">
        <v>0.84329405803417745</v>
      </c>
      <c r="AL23" s="9">
        <v>1.6008582548428516</v>
      </c>
      <c r="AM23" s="9">
        <v>6.0450937613885829</v>
      </c>
      <c r="AN23" s="9">
        <v>9.0098548690990867</v>
      </c>
      <c r="AO23" s="9">
        <v>9.5620092077925953</v>
      </c>
      <c r="AP23" s="9">
        <v>6.3908678647310264</v>
      </c>
      <c r="AQ23" s="9">
        <v>6.1970207996424653</v>
      </c>
      <c r="AR23" s="9">
        <v>1.2783051859102754</v>
      </c>
      <c r="AS23" s="9">
        <v>6.050785929038863</v>
      </c>
      <c r="AT23" s="9">
        <v>9.3106804116714557</v>
      </c>
      <c r="AU23" s="9">
        <v>14.072728692295735</v>
      </c>
      <c r="AV23" s="9">
        <v>8.8465678555806573</v>
      </c>
      <c r="AW23" s="9">
        <v>2.4738717432492532</v>
      </c>
      <c r="AX23" s="9">
        <v>0.66522985545632718</v>
      </c>
      <c r="AY23" s="9">
        <v>1.6011203869602721</v>
      </c>
      <c r="AZ23" s="9">
        <v>6.1423913688507872</v>
      </c>
      <c r="BA23" s="9">
        <v>9.2465821811728741</v>
      </c>
      <c r="BB23" s="9">
        <v>9.7580192205444565</v>
      </c>
      <c r="BC23" s="9">
        <v>6.3927292668561959</v>
      </c>
      <c r="BD23" s="9">
        <v>6.1916146481121555</v>
      </c>
    </row>
    <row r="24" spans="3:56" x14ac:dyDescent="0.25">
      <c r="C24" s="111">
        <v>33.161900000000003</v>
      </c>
      <c r="F24" s="111">
        <v>11.957000000000001</v>
      </c>
      <c r="G24" s="112">
        <v>55</v>
      </c>
      <c r="J24" s="111">
        <v>2213.66</v>
      </c>
      <c r="K24" s="111">
        <v>2065.13</v>
      </c>
      <c r="L24" s="91">
        <v>7.9551813228052062</v>
      </c>
      <c r="M24" s="12">
        <v>478.36169465979737</v>
      </c>
      <c r="N24" s="11">
        <v>19.904953158549407</v>
      </c>
      <c r="O24" s="11">
        <v>1932.4337878529452</v>
      </c>
      <c r="P24" s="11">
        <v>112.79125898850536</v>
      </c>
      <c r="Q24" s="11">
        <v>2.690812288371383</v>
      </c>
      <c r="R24" s="11">
        <v>1.7128716865768125</v>
      </c>
      <c r="S24" s="13">
        <v>13.751122776906955</v>
      </c>
      <c r="T24" s="14">
        <v>1025.4177254615749</v>
      </c>
      <c r="U24" s="91">
        <v>8.0664094661490022</v>
      </c>
      <c r="V24" s="12">
        <v>354.56505609523794</v>
      </c>
      <c r="W24" s="11">
        <v>18.685087709965213</v>
      </c>
      <c r="X24" s="11">
        <v>1936.2253110014399</v>
      </c>
      <c r="Y24" s="11">
        <v>110.21960128859503</v>
      </c>
      <c r="Z24" s="11">
        <v>2.6568821790913573</v>
      </c>
      <c r="AA24" s="11">
        <v>1.6719370370828306</v>
      </c>
      <c r="AB24" s="13">
        <v>13.945027659010284</v>
      </c>
      <c r="AC24" s="14">
        <v>1026.2182682108871</v>
      </c>
      <c r="AD24" s="15">
        <v>4</v>
      </c>
      <c r="AE24" s="9">
        <v>1.3807952358479025</v>
      </c>
      <c r="AF24" s="9">
        <v>5.968037860369507</v>
      </c>
      <c r="AG24" s="9">
        <v>9.1890105008292853</v>
      </c>
      <c r="AH24" s="9">
        <v>13.758469012412915</v>
      </c>
      <c r="AI24" s="9">
        <v>8.753334381901249</v>
      </c>
      <c r="AJ24" s="9">
        <v>2.5337785331327205</v>
      </c>
      <c r="AK24" s="9">
        <v>0.79397057425487549</v>
      </c>
      <c r="AL24" s="9">
        <v>1.5992647642738433</v>
      </c>
      <c r="AM24" s="9">
        <v>6.0695166292191267</v>
      </c>
      <c r="AN24" s="9">
        <v>9.073836500180505</v>
      </c>
      <c r="AO24" s="9">
        <v>9.613735115624225</v>
      </c>
      <c r="AP24" s="9">
        <v>6.3888504711856102</v>
      </c>
      <c r="AQ24" s="9">
        <v>6.1926918994644131</v>
      </c>
      <c r="AR24" s="9">
        <v>1.2782007909737454</v>
      </c>
      <c r="AS24" s="9">
        <v>6.0509487138969282</v>
      </c>
      <c r="AT24" s="9">
        <v>9.3111065235565622</v>
      </c>
      <c r="AU24" s="9">
        <v>14.072990668366197</v>
      </c>
      <c r="AV24" s="9">
        <v>8.8467952461815589</v>
      </c>
      <c r="AW24" s="9">
        <v>2.474201669858977</v>
      </c>
      <c r="AX24" s="9">
        <v>0.66566747949343508</v>
      </c>
      <c r="AY24" s="9">
        <v>1.6012254978563139</v>
      </c>
      <c r="AZ24" s="9">
        <v>6.1425912183381959</v>
      </c>
      <c r="BA24" s="9">
        <v>9.2463671054106822</v>
      </c>
      <c r="BB24" s="9">
        <v>9.7581143829246386</v>
      </c>
      <c r="BC24" s="9">
        <v>6.3933559733109098</v>
      </c>
      <c r="BD24" s="9">
        <v>6.1922035959628818</v>
      </c>
    </row>
    <row r="25" spans="3:56" x14ac:dyDescent="0.25">
      <c r="C25" s="111">
        <v>33.458300000000001</v>
      </c>
      <c r="F25" s="111">
        <v>9.8019999999999996</v>
      </c>
      <c r="G25" s="112">
        <v>100</v>
      </c>
      <c r="J25" s="111">
        <v>2224.7800000000002</v>
      </c>
      <c r="K25" s="111">
        <v>2125.36</v>
      </c>
      <c r="L25" s="91">
        <v>7.8457188162386684</v>
      </c>
      <c r="M25" s="12">
        <v>627.73977168185911</v>
      </c>
      <c r="N25" s="11">
        <v>27.973094860986659</v>
      </c>
      <c r="O25" s="11">
        <v>2012.6613810696856</v>
      </c>
      <c r="P25" s="11">
        <v>84.725524069327946</v>
      </c>
      <c r="Q25" s="11">
        <v>1.99961368534377</v>
      </c>
      <c r="R25" s="11">
        <v>1.2694567600344708</v>
      </c>
      <c r="S25" s="13">
        <v>15.977391905162465</v>
      </c>
      <c r="T25" s="14">
        <v>1026.2351197378175</v>
      </c>
      <c r="U25" s="91">
        <v>7.9235827152582496</v>
      </c>
      <c r="V25" s="12">
        <v>512.24968860872127</v>
      </c>
      <c r="W25" s="11">
        <v>26.94775024383987</v>
      </c>
      <c r="X25" s="11">
        <v>2015.2562744827394</v>
      </c>
      <c r="Y25" s="11">
        <v>83.155975273420836</v>
      </c>
      <c r="Z25" s="11">
        <v>2.0013845196294255</v>
      </c>
      <c r="AA25" s="11">
        <v>1.2602223638138024</v>
      </c>
      <c r="AB25" s="13">
        <v>16.193553108161659</v>
      </c>
      <c r="AC25" s="14">
        <v>1026.4531802371491</v>
      </c>
      <c r="AD25" s="15">
        <v>4</v>
      </c>
      <c r="AE25" s="9">
        <v>1.3510391270047459</v>
      </c>
      <c r="AF25" s="9">
        <v>5.9886886208967605</v>
      </c>
      <c r="AG25" s="9">
        <v>9.2214752658309536</v>
      </c>
      <c r="AH25" s="9">
        <v>13.849539236748965</v>
      </c>
      <c r="AI25" s="9">
        <v>8.7767595979295141</v>
      </c>
      <c r="AJ25" s="9">
        <v>2.5121112132065861</v>
      </c>
      <c r="AK25" s="9">
        <v>0.75049166576849091</v>
      </c>
      <c r="AL25" s="9">
        <v>1.5969626134397155</v>
      </c>
      <c r="AM25" s="9">
        <v>6.0869462579436648</v>
      </c>
      <c r="AN25" s="9">
        <v>9.124787443420038</v>
      </c>
      <c r="AO25" s="9">
        <v>9.6532149166577526</v>
      </c>
      <c r="AP25" s="9">
        <v>6.3803098841749666</v>
      </c>
      <c r="AQ25" s="9">
        <v>6.1829816963910922</v>
      </c>
      <c r="AR25" s="9">
        <v>1.2789591894832437</v>
      </c>
      <c r="AS25" s="9">
        <v>6.049774946846167</v>
      </c>
      <c r="AT25" s="9">
        <v>9.308019535823961</v>
      </c>
      <c r="AU25" s="9">
        <v>14.07109512594409</v>
      </c>
      <c r="AV25" s="9">
        <v>8.8451502807355595</v>
      </c>
      <c r="AW25" s="9">
        <v>2.4718092179397826</v>
      </c>
      <c r="AX25" s="9">
        <v>0.66247299817313188</v>
      </c>
      <c r="AY25" s="9">
        <v>1.6004684972622782</v>
      </c>
      <c r="AZ25" s="9">
        <v>6.1411560872852586</v>
      </c>
      <c r="BA25" s="9">
        <v>9.2479911517225979</v>
      </c>
      <c r="BB25" s="9">
        <v>9.7574287269631306</v>
      </c>
      <c r="BC25" s="9">
        <v>6.3888151224538019</v>
      </c>
      <c r="BD25" s="9">
        <v>6.1879317684919126</v>
      </c>
    </row>
    <row r="26" spans="3:56" x14ac:dyDescent="0.25">
      <c r="C26" s="111">
        <v>33.939900000000002</v>
      </c>
      <c r="F26" s="111">
        <v>8.5419999999999998</v>
      </c>
      <c r="G26" s="112">
        <v>170</v>
      </c>
      <c r="J26" s="111">
        <v>2257.17</v>
      </c>
      <c r="K26" s="111">
        <v>2195.0500000000002</v>
      </c>
      <c r="L26" s="91">
        <v>7.7380744251620177</v>
      </c>
      <c r="M26" s="12">
        <v>820.54569117445749</v>
      </c>
      <c r="N26" s="11">
        <v>38.036770476352515</v>
      </c>
      <c r="O26" s="11">
        <v>2090.6104656516409</v>
      </c>
      <c r="P26" s="11">
        <v>66.402763872006446</v>
      </c>
      <c r="Q26" s="11">
        <v>1.5419124075755843</v>
      </c>
      <c r="R26" s="11">
        <v>0.97861872413498296</v>
      </c>
      <c r="S26" s="13">
        <v>17.655692837742862</v>
      </c>
      <c r="T26" s="14">
        <v>1027.1338988235484</v>
      </c>
      <c r="U26" s="91">
        <v>7.7980804232717995</v>
      </c>
      <c r="V26" s="12">
        <v>709.04717529269863</v>
      </c>
      <c r="W26" s="11">
        <v>37.194923694624748</v>
      </c>
      <c r="X26" s="11">
        <v>2092.4386250935422</v>
      </c>
      <c r="Y26" s="11">
        <v>65.416451211832978</v>
      </c>
      <c r="Z26" s="11">
        <v>1.5704008850497255</v>
      </c>
      <c r="AA26" s="11">
        <v>0.98977877588997032</v>
      </c>
      <c r="AB26" s="13">
        <v>17.869870620180972</v>
      </c>
      <c r="AC26" s="14">
        <v>1026.8349261526887</v>
      </c>
      <c r="AD26" s="15">
        <v>4</v>
      </c>
      <c r="AE26" s="9">
        <v>1.3338991333431027</v>
      </c>
      <c r="AF26" s="9">
        <v>5.9980049409316853</v>
      </c>
      <c r="AG26" s="9">
        <v>9.2361613890005163</v>
      </c>
      <c r="AH26" s="9">
        <v>13.900115683272015</v>
      </c>
      <c r="AI26" s="9">
        <v>8.7866871076662179</v>
      </c>
      <c r="AJ26" s="9">
        <v>2.4960435391471534</v>
      </c>
      <c r="AK26" s="9">
        <v>0.71991740430530282</v>
      </c>
      <c r="AL26" s="9">
        <v>1.5939299721204867</v>
      </c>
      <c r="AM26" s="9">
        <v>6.0943669976172359</v>
      </c>
      <c r="AN26" s="9">
        <v>9.1547457360938029</v>
      </c>
      <c r="AO26" s="9">
        <v>9.6738102914651893</v>
      </c>
      <c r="AP26" s="9">
        <v>6.3670449069787045</v>
      </c>
      <c r="AQ26" s="9">
        <v>6.1695987247717667</v>
      </c>
      <c r="AR26" s="9">
        <v>1.2801914591262067</v>
      </c>
      <c r="AS26" s="9">
        <v>6.0479113671312792</v>
      </c>
      <c r="AT26" s="9">
        <v>9.3030461711897097</v>
      </c>
      <c r="AU26" s="9">
        <v>14.068052544693712</v>
      </c>
      <c r="AV26" s="9">
        <v>8.8425116881265904</v>
      </c>
      <c r="AW26" s="9">
        <v>2.4679432432723885</v>
      </c>
      <c r="AX26" s="9">
        <v>0.65720476519090987</v>
      </c>
      <c r="AY26" s="9">
        <v>1.599270779272538</v>
      </c>
      <c r="AZ26" s="9">
        <v>6.1389060124697821</v>
      </c>
      <c r="BA26" s="9">
        <v>9.2509311968738288</v>
      </c>
      <c r="BB26" s="9">
        <v>9.756342382630983</v>
      </c>
      <c r="BC26" s="9">
        <v>6.3814949111692725</v>
      </c>
      <c r="BD26" s="9">
        <v>6.1810225166905965</v>
      </c>
    </row>
    <row r="27" spans="3:56" x14ac:dyDescent="0.25">
      <c r="C27" s="111">
        <v>34.053600000000003</v>
      </c>
      <c r="F27" s="111">
        <v>7.9189999999999996</v>
      </c>
      <c r="G27" s="112">
        <v>229</v>
      </c>
      <c r="J27" s="111">
        <v>2269.92</v>
      </c>
      <c r="K27" s="111">
        <v>2230.6799999999998</v>
      </c>
      <c r="L27" s="91">
        <v>7.6673825703774252</v>
      </c>
      <c r="M27" s="12">
        <v>972.07897010563397</v>
      </c>
      <c r="N27" s="11">
        <v>45.997218027055631</v>
      </c>
      <c r="O27" s="11">
        <v>2128.270393143709</v>
      </c>
      <c r="P27" s="11">
        <v>56.412388829234771</v>
      </c>
      <c r="Q27" s="11">
        <v>1.2942531481564534</v>
      </c>
      <c r="R27" s="11">
        <v>0.82140633567610732</v>
      </c>
      <c r="S27" s="13">
        <v>18.411355472238647</v>
      </c>
      <c r="T27" s="14">
        <v>1027.5876337161562</v>
      </c>
      <c r="U27" s="91">
        <v>7.719665071357821</v>
      </c>
      <c r="V27" s="12">
        <v>864.17999926818027</v>
      </c>
      <c r="W27" s="11">
        <v>45.302464368383987</v>
      </c>
      <c r="X27" s="11">
        <v>2129.6470264437785</v>
      </c>
      <c r="Y27" s="11">
        <v>55.730509187837363</v>
      </c>
      <c r="Z27" s="11">
        <v>1.3370602693742542</v>
      </c>
      <c r="AA27" s="11">
        <v>0.84288995683020485</v>
      </c>
      <c r="AB27" s="13">
        <v>18.603162418632472</v>
      </c>
      <c r="AC27" s="14">
        <v>1026.9250615638266</v>
      </c>
      <c r="AD27" s="15">
        <v>4</v>
      </c>
      <c r="AE27" s="9">
        <v>1.3249699819650662</v>
      </c>
      <c r="AF27" s="9">
        <v>6.0020873326395412</v>
      </c>
      <c r="AG27" s="9">
        <v>9.2440348832094816</v>
      </c>
      <c r="AH27" s="9">
        <v>13.925341970080504</v>
      </c>
      <c r="AI27" s="9">
        <v>8.7910573205735218</v>
      </c>
      <c r="AJ27" s="9">
        <v>2.4886194229320742</v>
      </c>
      <c r="AK27" s="9">
        <v>0.70500418679385402</v>
      </c>
      <c r="AL27" s="9">
        <v>1.5922173740562067</v>
      </c>
      <c r="AM27" s="9">
        <v>6.0978116462686316</v>
      </c>
      <c r="AN27" s="9">
        <v>9.1679834954846591</v>
      </c>
      <c r="AO27" s="9">
        <v>9.6831265200870327</v>
      </c>
      <c r="AP27" s="9">
        <v>6.3603636274602264</v>
      </c>
      <c r="AQ27" s="9">
        <v>6.1629024457553507</v>
      </c>
      <c r="AR27" s="9">
        <v>1.2804823832508017</v>
      </c>
      <c r="AS27" s="9">
        <v>6.0474792705705092</v>
      </c>
      <c r="AT27" s="9">
        <v>9.3018796885460944</v>
      </c>
      <c r="AU27" s="9">
        <v>14.067340886912719</v>
      </c>
      <c r="AV27" s="9">
        <v>8.8418948777534876</v>
      </c>
      <c r="AW27" s="9">
        <v>2.4670343379031321</v>
      </c>
      <c r="AX27" s="9">
        <v>0.65594647607659595</v>
      </c>
      <c r="AY27" s="9">
        <v>1.5989937669079841</v>
      </c>
      <c r="AZ27" s="9">
        <v>6.1383893738476205</v>
      </c>
      <c r="BA27" s="9">
        <v>9.2516790083951523</v>
      </c>
      <c r="BB27" s="9">
        <v>9.7560908515266718</v>
      </c>
      <c r="BC27" s="9">
        <v>6.3797768610188283</v>
      </c>
      <c r="BD27" s="9">
        <v>6.1793967562215295</v>
      </c>
    </row>
    <row r="28" spans="3:56" x14ac:dyDescent="0.25">
      <c r="C28" s="111">
        <v>34.159999999999997</v>
      </c>
      <c r="F28" s="111">
        <v>7.4470000000000001</v>
      </c>
      <c r="G28" s="112">
        <v>320</v>
      </c>
      <c r="J28" s="111">
        <v>2284.44</v>
      </c>
      <c r="K28" s="111">
        <v>2264.37</v>
      </c>
      <c r="L28" s="91">
        <v>7.6042498617594028</v>
      </c>
      <c r="M28" s="12">
        <v>1126.336876224367</v>
      </c>
      <c r="N28" s="11">
        <v>54.134694813019181</v>
      </c>
      <c r="O28" s="11">
        <v>2161.1999219889908</v>
      </c>
      <c r="P28" s="11">
        <v>49.035383197990015</v>
      </c>
      <c r="Q28" s="11">
        <v>1.1047417796495693</v>
      </c>
      <c r="R28" s="11">
        <v>0.70154587450893457</v>
      </c>
      <c r="S28" s="13">
        <v>18.758726831031066</v>
      </c>
      <c r="T28" s="14">
        <v>1028.1563655923032</v>
      </c>
      <c r="U28" s="91">
        <v>7.6527725752900899</v>
      </c>
      <c r="V28" s="12">
        <v>1023.1604962148682</v>
      </c>
      <c r="W28" s="11">
        <v>53.603004747274625</v>
      </c>
      <c r="X28" s="11">
        <v>2162.1412920849762</v>
      </c>
      <c r="Y28" s="11">
        <v>48.625703167749066</v>
      </c>
      <c r="Z28" s="11">
        <v>1.1659351422131681</v>
      </c>
      <c r="AA28" s="11">
        <v>0.73515516444786444</v>
      </c>
      <c r="AB28" s="13">
        <v>18.910553042127578</v>
      </c>
      <c r="AC28" s="14">
        <v>1027.0094133232701</v>
      </c>
      <c r="AD28" s="15">
        <v>4</v>
      </c>
      <c r="AE28" s="9">
        <v>1.3181926103642778</v>
      </c>
      <c r="AF28" s="9">
        <v>6.0030306113343812</v>
      </c>
      <c r="AG28" s="9">
        <v>9.2484352314093403</v>
      </c>
      <c r="AH28" s="9">
        <v>13.942779837260021</v>
      </c>
      <c r="AI28" s="9">
        <v>8.7918309422115026</v>
      </c>
      <c r="AJ28" s="9">
        <v>2.481974202902121</v>
      </c>
      <c r="AK28" s="9">
        <v>0.69188558504131381</v>
      </c>
      <c r="AL28" s="9">
        <v>1.589719034127087</v>
      </c>
      <c r="AM28" s="9">
        <v>6.0984974750383802</v>
      </c>
      <c r="AN28" s="9">
        <v>9.1760333230441695</v>
      </c>
      <c r="AO28" s="9">
        <v>9.6877457037979955</v>
      </c>
      <c r="AP28" s="9">
        <v>6.3511152616308815</v>
      </c>
      <c r="AQ28" s="9">
        <v>6.1539105580284348</v>
      </c>
      <c r="AR28" s="9">
        <v>1.2807546288695961</v>
      </c>
      <c r="AS28" s="9">
        <v>6.047077639376278</v>
      </c>
      <c r="AT28" s="9">
        <v>9.3007907515707391</v>
      </c>
      <c r="AU28" s="9">
        <v>14.066677200733995</v>
      </c>
      <c r="AV28" s="9">
        <v>8.8413197771973469</v>
      </c>
      <c r="AW28" s="9">
        <v>2.4661850902992186</v>
      </c>
      <c r="AX28" s="9">
        <v>0.6547638206320584</v>
      </c>
      <c r="AY28" s="9">
        <v>1.5987365103483639</v>
      </c>
      <c r="AZ28" s="9">
        <v>6.1379108970794345</v>
      </c>
      <c r="BA28" s="9">
        <v>9.2523971962713922</v>
      </c>
      <c r="BB28" s="9">
        <v>9.7558571614606784</v>
      </c>
      <c r="BC28" s="9">
        <v>6.3781725543415284</v>
      </c>
      <c r="BD28" s="9">
        <v>6.1778771743498524</v>
      </c>
    </row>
    <row r="29" spans="3:56" x14ac:dyDescent="0.25">
      <c r="C29" s="111">
        <v>34.295000000000002</v>
      </c>
      <c r="F29" s="111">
        <v>6.0670000000000002</v>
      </c>
      <c r="G29" s="112">
        <v>515</v>
      </c>
      <c r="J29" s="111">
        <v>2317.4299999999998</v>
      </c>
      <c r="K29" s="111">
        <v>2314.92</v>
      </c>
      <c r="L29" s="91">
        <v>7.5553637224470416</v>
      </c>
      <c r="M29" s="12">
        <v>1248.1023988042291</v>
      </c>
      <c r="N29" s="11">
        <v>62.898223520680773</v>
      </c>
      <c r="O29" s="11">
        <v>2208.9442642928229</v>
      </c>
      <c r="P29" s="11">
        <v>43.077512186496172</v>
      </c>
      <c r="Q29" s="11">
        <v>0.93296900012546702</v>
      </c>
      <c r="R29" s="11">
        <v>0.5928749833983108</v>
      </c>
      <c r="S29" s="13">
        <v>18.907414794085316</v>
      </c>
      <c r="T29" s="14">
        <v>1029.3497744656447</v>
      </c>
      <c r="U29" s="91">
        <v>7.5921099198595359</v>
      </c>
      <c r="V29" s="12">
        <v>1201.4270218176525</v>
      </c>
      <c r="W29" s="11">
        <v>62.892280445611227</v>
      </c>
      <c r="X29" s="11">
        <v>2208.6933443092798</v>
      </c>
      <c r="Y29" s="11">
        <v>43.33437524510888</v>
      </c>
      <c r="Z29" s="11">
        <v>1.0383007611252639</v>
      </c>
      <c r="AA29" s="11">
        <v>0.65483669532342836</v>
      </c>
      <c r="AB29" s="13">
        <v>18.909572704056092</v>
      </c>
      <c r="AC29" s="14">
        <v>1027.1164433412807</v>
      </c>
      <c r="AD29" s="15">
        <v>4</v>
      </c>
      <c r="AE29" s="9">
        <v>1.2976118383573501</v>
      </c>
      <c r="AF29" s="9">
        <v>6.0098173440122533</v>
      </c>
      <c r="AG29" s="9">
        <v>9.2652978664470158</v>
      </c>
      <c r="AH29" s="9">
        <v>13.99790430819392</v>
      </c>
      <c r="AI29" s="9">
        <v>8.7988102792708265</v>
      </c>
      <c r="AJ29" s="9">
        <v>2.4651781473513212</v>
      </c>
      <c r="AK29" s="9">
        <v>0.65724148282000361</v>
      </c>
      <c r="AL29" s="9">
        <v>1.5847019030533476</v>
      </c>
      <c r="AM29" s="9">
        <v>6.1044011562537737</v>
      </c>
      <c r="AN29" s="9">
        <v>9.201973675114882</v>
      </c>
      <c r="AO29" s="9">
        <v>9.7055658712842305</v>
      </c>
      <c r="AP29" s="9">
        <v>6.3322677109857111</v>
      </c>
      <c r="AQ29" s="9">
        <v>6.1353636228539026</v>
      </c>
      <c r="AR29" s="9">
        <v>1.2811000532919385</v>
      </c>
      <c r="AS29" s="9">
        <v>6.0465718397227803</v>
      </c>
      <c r="AT29" s="9">
        <v>9.2994128026422409</v>
      </c>
      <c r="AU29" s="9">
        <v>14.065838274453855</v>
      </c>
      <c r="AV29" s="9">
        <v>8.8405930161460233</v>
      </c>
      <c r="AW29" s="9">
        <v>2.4651093700381028</v>
      </c>
      <c r="AX29" s="9">
        <v>0.65325600929426153</v>
      </c>
      <c r="AY29" s="9">
        <v>1.5984128318675028</v>
      </c>
      <c r="AZ29" s="9">
        <v>6.1373107173173151</v>
      </c>
      <c r="BA29" s="9">
        <v>9.2533338877203857</v>
      </c>
      <c r="BB29" s="9">
        <v>9.7555629978340761</v>
      </c>
      <c r="BC29" s="9">
        <v>6.3761417440037045</v>
      </c>
      <c r="BD29" s="9">
        <v>6.1759515797712456</v>
      </c>
    </row>
    <row r="30" spans="3:56" x14ac:dyDescent="0.25">
      <c r="C30" s="111">
        <v>33.260199999999998</v>
      </c>
      <c r="F30" s="111">
        <v>16.027999999999999</v>
      </c>
      <c r="G30" s="112">
        <v>2</v>
      </c>
      <c r="J30" s="111">
        <v>2225.8000000000002</v>
      </c>
      <c r="K30" s="111">
        <v>2003.49</v>
      </c>
      <c r="L30" s="91">
        <v>8.0613931409481321</v>
      </c>
      <c r="M30" s="12">
        <v>366.53190968627121</v>
      </c>
      <c r="N30" s="11">
        <v>13.442284257163067</v>
      </c>
      <c r="O30" s="11">
        <v>1830.431207495883</v>
      </c>
      <c r="P30" s="11">
        <v>159.6165082469542</v>
      </c>
      <c r="Q30" s="11">
        <v>3.850090242085034</v>
      </c>
      <c r="R30" s="11">
        <v>2.4704672062741913</v>
      </c>
      <c r="S30" s="13">
        <v>11.245397101890426</v>
      </c>
      <c r="T30" s="14">
        <v>1024.4130617048297</v>
      </c>
      <c r="U30" s="91">
        <v>8.2363100443466166</v>
      </c>
      <c r="V30" s="12">
        <v>227.35392315673246</v>
      </c>
      <c r="W30" s="11">
        <v>11.97430019117963</v>
      </c>
      <c r="X30" s="11">
        <v>1836.5510885979459</v>
      </c>
      <c r="Y30" s="11">
        <v>154.96461121087461</v>
      </c>
      <c r="Z30" s="11">
        <v>3.7335537647523318</v>
      </c>
      <c r="AA30" s="11">
        <v>2.3499607620745651</v>
      </c>
      <c r="AB30" s="13">
        <v>11.413340862195051</v>
      </c>
      <c r="AC30" s="14">
        <v>1026.2961731862192</v>
      </c>
      <c r="AD30" s="15">
        <v>4</v>
      </c>
      <c r="AE30" s="9">
        <v>1.4356387146444261</v>
      </c>
      <c r="AF30" s="9">
        <v>5.9273128043398051</v>
      </c>
      <c r="AG30" s="9">
        <v>9.1208687465249163</v>
      </c>
      <c r="AH30" s="9">
        <v>13.585712946742333</v>
      </c>
      <c r="AI30" s="9">
        <v>8.7048477998292046</v>
      </c>
      <c r="AJ30" s="9">
        <v>2.5680569711685122</v>
      </c>
      <c r="AK30" s="9">
        <v>0.86618844365934355</v>
      </c>
      <c r="AL30" s="9">
        <v>1.6020574190580621</v>
      </c>
      <c r="AM30" s="9">
        <v>6.0344325767386353</v>
      </c>
      <c r="AN30" s="9">
        <v>8.9807796088115364</v>
      </c>
      <c r="AO30" s="9">
        <v>9.5388182348659374</v>
      </c>
      <c r="AP30" s="9">
        <v>6.392350165164129</v>
      </c>
      <c r="AQ30" s="9">
        <v>6.1996583494362234</v>
      </c>
      <c r="AR30" s="9">
        <v>1.2784523111271988</v>
      </c>
      <c r="AS30" s="9">
        <v>6.0505571719752327</v>
      </c>
      <c r="AT30" s="9">
        <v>9.3100805272575755</v>
      </c>
      <c r="AU30" s="9">
        <v>14.072360057273581</v>
      </c>
      <c r="AV30" s="9">
        <v>8.8462479111122487</v>
      </c>
      <c r="AW30" s="9">
        <v>2.4734071000349336</v>
      </c>
      <c r="AX30" s="9">
        <v>0.66461197556772122</v>
      </c>
      <c r="AY30" s="9">
        <v>1.600972746543718</v>
      </c>
      <c r="AZ30" s="9">
        <v>6.1421109691289804</v>
      </c>
      <c r="BA30" s="9">
        <v>9.2468898987155725</v>
      </c>
      <c r="BB30" s="9">
        <v>9.7578855312679593</v>
      </c>
      <c r="BC30" s="9">
        <v>6.3918469408550305</v>
      </c>
      <c r="BD30" s="9">
        <v>6.1907851419223894</v>
      </c>
    </row>
    <row r="31" spans="3:56" x14ac:dyDescent="0.25">
      <c r="C31" s="111">
        <v>33.272300000000001</v>
      </c>
      <c r="F31" s="111">
        <v>15.291</v>
      </c>
      <c r="G31" s="112">
        <v>30</v>
      </c>
      <c r="J31" s="111">
        <v>2225.4</v>
      </c>
      <c r="K31" s="111">
        <v>2004.44</v>
      </c>
      <c r="L31" s="91">
        <v>8.0688853950293371</v>
      </c>
      <c r="M31" s="12">
        <v>357.94900236252181</v>
      </c>
      <c r="N31" s="11">
        <v>13.419997540978613</v>
      </c>
      <c r="O31" s="11">
        <v>1832.6391270972504</v>
      </c>
      <c r="P31" s="11">
        <v>158.38087536177119</v>
      </c>
      <c r="Q31" s="11">
        <v>3.7998881385608807</v>
      </c>
      <c r="R31" s="11">
        <v>2.4351409831696085</v>
      </c>
      <c r="S31" s="13">
        <v>11.293569932133806</v>
      </c>
      <c r="T31" s="14">
        <v>1024.7108696598393</v>
      </c>
      <c r="U31" s="91">
        <v>8.2333550007419625</v>
      </c>
      <c r="V31" s="12">
        <v>229.11156324934527</v>
      </c>
      <c r="W31" s="11">
        <v>12.066011563094316</v>
      </c>
      <c r="X31" s="11">
        <v>1838.2712980370716</v>
      </c>
      <c r="Y31" s="11">
        <v>154.10269039983419</v>
      </c>
      <c r="Z31" s="11">
        <v>3.7125518517569178</v>
      </c>
      <c r="AA31" s="11">
        <v>2.3368012995030787</v>
      </c>
      <c r="AB31" s="13">
        <v>11.449490163868429</v>
      </c>
      <c r="AC31" s="14">
        <v>1026.3057628989168</v>
      </c>
      <c r="AD31" s="15">
        <v>4</v>
      </c>
      <c r="AE31" s="9">
        <v>1.4260687200812838</v>
      </c>
      <c r="AF31" s="9">
        <v>5.9335608767092376</v>
      </c>
      <c r="AG31" s="9">
        <v>9.1322596106480241</v>
      </c>
      <c r="AH31" s="9">
        <v>13.615685530891362</v>
      </c>
      <c r="AI31" s="9">
        <v>8.712431711254192</v>
      </c>
      <c r="AJ31" s="9">
        <v>2.5613433356295894</v>
      </c>
      <c r="AK31" s="9">
        <v>0.85253338490542507</v>
      </c>
      <c r="AL31" s="9">
        <v>1.600931615171032</v>
      </c>
      <c r="AM31" s="9">
        <v>6.039672593950927</v>
      </c>
      <c r="AN31" s="9">
        <v>8.9967327951535729</v>
      </c>
      <c r="AO31" s="9">
        <v>9.5511129458189732</v>
      </c>
      <c r="AP31" s="9">
        <v>6.3898671683697277</v>
      </c>
      <c r="AQ31" s="9">
        <v>6.1966204662429147</v>
      </c>
      <c r="AR31" s="9">
        <v>1.2784832713902385</v>
      </c>
      <c r="AS31" s="9">
        <v>6.0505091315477921</v>
      </c>
      <c r="AT31" s="9">
        <v>9.3099543862003831</v>
      </c>
      <c r="AU31" s="9">
        <v>14.07228256864493</v>
      </c>
      <c r="AV31" s="9">
        <v>8.8461806611015348</v>
      </c>
      <c r="AW31" s="9">
        <v>2.4733093715614127</v>
      </c>
      <c r="AX31" s="9">
        <v>0.6644817829823817</v>
      </c>
      <c r="AY31" s="9">
        <v>1.6009417513183755</v>
      </c>
      <c r="AZ31" s="9">
        <v>6.1420521493441278</v>
      </c>
      <c r="BA31" s="9">
        <v>9.2469553386687693</v>
      </c>
      <c r="BB31" s="9">
        <v>9.7578574615159734</v>
      </c>
      <c r="BC31" s="9">
        <v>6.3916614023990785</v>
      </c>
      <c r="BD31" s="9">
        <v>6.1906106598887902</v>
      </c>
    </row>
    <row r="32" spans="3:56" x14ac:dyDescent="0.25">
      <c r="C32" s="111">
        <v>33.262599999999999</v>
      </c>
      <c r="F32" s="111">
        <v>13.379</v>
      </c>
      <c r="G32" s="112">
        <v>50</v>
      </c>
      <c r="J32" s="112">
        <v>2223</v>
      </c>
      <c r="K32" s="111">
        <v>2028.17</v>
      </c>
      <c r="L32" s="91">
        <v>8.0418870678066678</v>
      </c>
      <c r="M32" s="12">
        <v>383.27601043828577</v>
      </c>
      <c r="N32" s="11">
        <v>15.238942352720343</v>
      </c>
      <c r="O32" s="11">
        <v>1871.6333253394441</v>
      </c>
      <c r="P32" s="11">
        <v>141.29773230783567</v>
      </c>
      <c r="Q32" s="11">
        <v>3.3742695161945404</v>
      </c>
      <c r="R32" s="11">
        <v>2.1542083975508839</v>
      </c>
      <c r="S32" s="13">
        <v>12.086468324704182</v>
      </c>
      <c r="T32" s="14">
        <v>1025.1958330761925</v>
      </c>
      <c r="U32" s="91">
        <v>8.1765724662240729</v>
      </c>
      <c r="V32" s="12">
        <v>266.50428493477074</v>
      </c>
      <c r="W32" s="11">
        <v>14.036077067807579</v>
      </c>
      <c r="X32" s="11">
        <v>1876.1630121846129</v>
      </c>
      <c r="Y32" s="11">
        <v>137.97091074757975</v>
      </c>
      <c r="Z32" s="11">
        <v>3.324083632723462</v>
      </c>
      <c r="AA32" s="11">
        <v>2.0922440315440811</v>
      </c>
      <c r="AB32" s="13">
        <v>12.239290768790609</v>
      </c>
      <c r="AC32" s="14">
        <v>1026.2980752747001</v>
      </c>
      <c r="AD32" s="15">
        <v>4</v>
      </c>
      <c r="AE32" s="9">
        <v>1.4005568110859297</v>
      </c>
      <c r="AF32" s="9">
        <v>5.9526211245628673</v>
      </c>
      <c r="AG32" s="9">
        <v>9.1639726453222021</v>
      </c>
      <c r="AH32" s="9">
        <v>13.696474284878279</v>
      </c>
      <c r="AI32" s="9">
        <v>8.7351739485926121</v>
      </c>
      <c r="AJ32" s="9">
        <v>2.5450780178573771</v>
      </c>
      <c r="AK32" s="9">
        <v>0.81856567126975199</v>
      </c>
      <c r="AL32" s="9">
        <v>1.5995619904991627</v>
      </c>
      <c r="AM32" s="9">
        <v>6.056000360565676</v>
      </c>
      <c r="AN32" s="9">
        <v>9.0406824265655725</v>
      </c>
      <c r="AO32" s="9">
        <v>9.586297466215921</v>
      </c>
      <c r="AP32" s="9">
        <v>6.3879703018508138</v>
      </c>
      <c r="AQ32" s="9">
        <v>6.1930782479293436</v>
      </c>
      <c r="AR32" s="9">
        <v>1.2784584520058182</v>
      </c>
      <c r="AS32" s="9">
        <v>6.0505476405860126</v>
      </c>
      <c r="AT32" s="9">
        <v>9.3100555049041915</v>
      </c>
      <c r="AU32" s="9">
        <v>14.072344685280616</v>
      </c>
      <c r="AV32" s="9">
        <v>8.8462345701278373</v>
      </c>
      <c r="AW32" s="9">
        <v>2.4733877145321363</v>
      </c>
      <c r="AX32" s="9">
        <v>0.66458615693254186</v>
      </c>
      <c r="AY32" s="9">
        <v>1.6009665967017623</v>
      </c>
      <c r="AZ32" s="9">
        <v>6.1420992972558652</v>
      </c>
      <c r="BA32" s="9">
        <v>9.2469028596092286</v>
      </c>
      <c r="BB32" s="9">
        <v>9.7578799619705663</v>
      </c>
      <c r="BC32" s="9">
        <v>6.391810136152249</v>
      </c>
      <c r="BD32" s="9">
        <v>6.19075053185193</v>
      </c>
    </row>
    <row r="33" spans="3:56" x14ac:dyDescent="0.25">
      <c r="C33" s="111">
        <v>33.613399999999999</v>
      </c>
      <c r="F33" s="111">
        <v>9.468</v>
      </c>
      <c r="G33" s="112">
        <v>100</v>
      </c>
      <c r="J33" s="111">
        <v>2232.8000000000002</v>
      </c>
      <c r="K33" s="111">
        <v>2150.61</v>
      </c>
      <c r="L33" s="91">
        <v>7.7958338997351202</v>
      </c>
      <c r="M33" s="12">
        <v>712.53345564297626</v>
      </c>
      <c r="N33" s="11">
        <v>32.077768444426837</v>
      </c>
      <c r="O33" s="11">
        <v>2042.6043826802777</v>
      </c>
      <c r="P33" s="11">
        <v>75.92784887529541</v>
      </c>
      <c r="Q33" s="11">
        <v>1.7901894707724904</v>
      </c>
      <c r="R33" s="11">
        <v>1.1362223432780745</v>
      </c>
      <c r="S33" s="13">
        <v>16.765130730881822</v>
      </c>
      <c r="T33" s="14">
        <v>1026.4117435051517</v>
      </c>
      <c r="U33" s="91">
        <v>7.8678567287801764</v>
      </c>
      <c r="V33" s="12">
        <v>590.71102604649991</v>
      </c>
      <c r="W33" s="11">
        <v>31.046956529579365</v>
      </c>
      <c r="X33" s="11">
        <v>2045.0638645375473</v>
      </c>
      <c r="Y33" s="11">
        <v>74.499178932873292</v>
      </c>
      <c r="Z33" s="11">
        <v>1.7915623868783634</v>
      </c>
      <c r="AA33" s="11">
        <v>1.1284555854769265</v>
      </c>
      <c r="AB33" s="13">
        <v>17.003890350009456</v>
      </c>
      <c r="AC33" s="14">
        <v>1026.5761148105194</v>
      </c>
      <c r="AD33" s="15">
        <v>4</v>
      </c>
      <c r="AE33" s="9">
        <v>1.3466011125453923</v>
      </c>
      <c r="AF33" s="9">
        <v>5.9918537884047129</v>
      </c>
      <c r="AG33" s="9">
        <v>9.22561706316265</v>
      </c>
      <c r="AH33" s="9">
        <v>13.863341261812698</v>
      </c>
      <c r="AI33" s="9">
        <v>8.7801862683519918</v>
      </c>
      <c r="AJ33" s="9">
        <v>2.5079783319631659</v>
      </c>
      <c r="AK33" s="9">
        <v>0.74279421079903363</v>
      </c>
      <c r="AL33" s="9">
        <v>1.5965209195239962</v>
      </c>
      <c r="AM33" s="9">
        <v>6.0894704027882627</v>
      </c>
      <c r="AN33" s="9">
        <v>9.1336326993693682</v>
      </c>
      <c r="AO33" s="9">
        <v>9.6595394720524439</v>
      </c>
      <c r="AP33" s="9">
        <v>6.3778673773366688</v>
      </c>
      <c r="AQ33" s="9">
        <v>6.1804317041171233</v>
      </c>
      <c r="AR33" s="9">
        <v>1.2793560437640235</v>
      </c>
      <c r="AS33" s="9">
        <v>6.0491688873929901</v>
      </c>
      <c r="AT33" s="9">
        <v>9.3064121174087688</v>
      </c>
      <c r="AU33" s="9">
        <v>14.070110243312195</v>
      </c>
      <c r="AV33" s="9">
        <v>8.8442959143811724</v>
      </c>
      <c r="AW33" s="9">
        <v>2.4705613088591551</v>
      </c>
      <c r="AX33" s="9">
        <v>0.66078704498020902</v>
      </c>
      <c r="AY33" s="9">
        <v>1.6000784369165484</v>
      </c>
      <c r="AZ33" s="9">
        <v>6.1404204699447646</v>
      </c>
      <c r="BA33" s="9">
        <v>9.2488975570765177</v>
      </c>
      <c r="BB33" s="9">
        <v>9.7570751460575398</v>
      </c>
      <c r="BC33" s="9">
        <v>6.3864499245627941</v>
      </c>
      <c r="BD33" s="9">
        <v>6.1857024590222682</v>
      </c>
    </row>
    <row r="34" spans="3:56" x14ac:dyDescent="0.25">
      <c r="C34" s="111">
        <v>33.991</v>
      </c>
      <c r="F34" s="111">
        <v>8.5739999999999998</v>
      </c>
      <c r="G34" s="112">
        <v>170</v>
      </c>
      <c r="J34" s="111">
        <v>2259.77</v>
      </c>
      <c r="K34" s="111">
        <v>2204.9899999999998</v>
      </c>
      <c r="L34" s="91">
        <v>7.7129240267966921</v>
      </c>
      <c r="M34" s="12">
        <v>874.02287768039946</v>
      </c>
      <c r="N34" s="11">
        <v>40.45985033464585</v>
      </c>
      <c r="O34" s="11">
        <v>2101.3840820352984</v>
      </c>
      <c r="P34" s="11">
        <v>63.14606763005547</v>
      </c>
      <c r="Q34" s="11">
        <v>1.465873023249997</v>
      </c>
      <c r="R34" s="11">
        <v>0.93049268361289939</v>
      </c>
      <c r="S34" s="13">
        <v>17.906290008878042</v>
      </c>
      <c r="T34" s="14">
        <v>1027.1688623232646</v>
      </c>
      <c r="U34" s="91">
        <v>7.7730795014950704</v>
      </c>
      <c r="V34" s="12">
        <v>754.83358500543216</v>
      </c>
      <c r="W34" s="11">
        <v>39.584850258676717</v>
      </c>
      <c r="X34" s="11">
        <v>2103.2539305776913</v>
      </c>
      <c r="Y34" s="11">
        <v>62.151219163631303</v>
      </c>
      <c r="Z34" s="11">
        <v>1.4916054924121711</v>
      </c>
      <c r="AA34" s="11">
        <v>0.94020656831954497</v>
      </c>
      <c r="AB34" s="13">
        <v>18.135473907335989</v>
      </c>
      <c r="AC34" s="14">
        <v>1026.8754350947047</v>
      </c>
      <c r="AD34" s="15">
        <v>4</v>
      </c>
      <c r="AE34" s="9">
        <v>1.3344985285710387</v>
      </c>
      <c r="AF34" s="9">
        <v>5.9974428605749335</v>
      </c>
      <c r="AG34" s="9">
        <v>9.2350831545558396</v>
      </c>
      <c r="AH34" s="9">
        <v>13.898343218043063</v>
      </c>
      <c r="AI34" s="9">
        <v>8.7859919732889207</v>
      </c>
      <c r="AJ34" s="9">
        <v>2.4959134452336769</v>
      </c>
      <c r="AK34" s="9">
        <v>0.72000491265994648</v>
      </c>
      <c r="AL34" s="9">
        <v>1.5937929775094382</v>
      </c>
      <c r="AM34" s="9">
        <v>6.0937953839382271</v>
      </c>
      <c r="AN34" s="9">
        <v>9.1542501051768781</v>
      </c>
      <c r="AO34" s="9">
        <v>9.6730463650214542</v>
      </c>
      <c r="AP34" s="9">
        <v>6.3662680191044227</v>
      </c>
      <c r="AQ34" s="9">
        <v>6.1688846292547428</v>
      </c>
      <c r="AR34" s="9">
        <v>1.2803222086668118</v>
      </c>
      <c r="AS34" s="9">
        <v>6.0477167987260714</v>
      </c>
      <c r="AT34" s="9">
        <v>9.3025215584775367</v>
      </c>
      <c r="AU34" s="9">
        <v>14.067732393283077</v>
      </c>
      <c r="AV34" s="9">
        <v>8.8422341877085522</v>
      </c>
      <c r="AW34" s="9">
        <v>2.4675345771027564</v>
      </c>
      <c r="AX34" s="9">
        <v>0.65663995416038556</v>
      </c>
      <c r="AY34" s="9">
        <v>1.599146012243837</v>
      </c>
      <c r="AZ34" s="9">
        <v>6.1386731369270793</v>
      </c>
      <c r="BA34" s="9">
        <v>9.2512647664876067</v>
      </c>
      <c r="BB34" s="9">
        <v>9.7562291057594486</v>
      </c>
      <c r="BC34" s="9">
        <v>6.3807222986333185</v>
      </c>
      <c r="BD34" s="9">
        <v>6.1802916056363557</v>
      </c>
    </row>
    <row r="35" spans="3:56" x14ac:dyDescent="0.25">
      <c r="C35" s="111">
        <v>34.097000000000001</v>
      </c>
      <c r="F35" s="111">
        <v>7.8650000000000002</v>
      </c>
      <c r="G35" s="112">
        <v>230</v>
      </c>
      <c r="J35" s="111">
        <v>2277.1</v>
      </c>
      <c r="K35" s="111">
        <v>2241.85</v>
      </c>
      <c r="L35" s="91">
        <v>7.6541276459553185</v>
      </c>
      <c r="M35" s="12">
        <v>1006.7082072118309</v>
      </c>
      <c r="N35" s="11">
        <v>47.711970462739629</v>
      </c>
      <c r="O35" s="11">
        <v>2139.1989542984456</v>
      </c>
      <c r="P35" s="11">
        <v>54.939075238814503</v>
      </c>
      <c r="Q35" s="11">
        <v>1.2598708059375732</v>
      </c>
      <c r="R35" s="11">
        <v>0.79959374402187977</v>
      </c>
      <c r="S35" s="13">
        <v>18.505629894426644</v>
      </c>
      <c r="T35" s="14">
        <v>1027.6344061253458</v>
      </c>
      <c r="U35" s="91">
        <v>7.7055174000508906</v>
      </c>
      <c r="V35" s="12">
        <v>897.25620237193743</v>
      </c>
      <c r="W35" s="11">
        <v>47.024375676894486</v>
      </c>
      <c r="X35" s="11">
        <v>2140.5496658126285</v>
      </c>
      <c r="Y35" s="11">
        <v>54.275958510476777</v>
      </c>
      <c r="Z35" s="11">
        <v>1.301858629890341</v>
      </c>
      <c r="AA35" s="11">
        <v>0.82076432591455362</v>
      </c>
      <c r="AB35" s="13">
        <v>18.696958261502431</v>
      </c>
      <c r="AC35" s="14">
        <v>1026.9594678041335</v>
      </c>
      <c r="AD35" s="15">
        <v>4</v>
      </c>
      <c r="AE35" s="9">
        <v>1.3242762563092023</v>
      </c>
      <c r="AF35" s="9">
        <v>6.0025038212452824</v>
      </c>
      <c r="AG35" s="9">
        <v>9.2444974786872169</v>
      </c>
      <c r="AH35" s="9">
        <v>13.927464751298464</v>
      </c>
      <c r="AI35" s="9">
        <v>8.7914705197118774</v>
      </c>
      <c r="AJ35" s="9">
        <v>2.4877821955847561</v>
      </c>
      <c r="AK35" s="9">
        <v>0.70349219574895805</v>
      </c>
      <c r="AL35" s="9">
        <v>1.5920872001255544</v>
      </c>
      <c r="AM35" s="9">
        <v>6.0981221852364413</v>
      </c>
      <c r="AN35" s="9">
        <v>9.169528810000255</v>
      </c>
      <c r="AO35" s="9">
        <v>9.6840788482260898</v>
      </c>
      <c r="AP35" s="9">
        <v>6.3596104165007166</v>
      </c>
      <c r="AQ35" s="9">
        <v>6.162153791600903</v>
      </c>
      <c r="AR35" s="9">
        <v>1.2805934308058364</v>
      </c>
      <c r="AS35" s="9">
        <v>6.0473151294182115</v>
      </c>
      <c r="AT35" s="9">
        <v>9.3014352071856763</v>
      </c>
      <c r="AU35" s="9">
        <v>14.06706990719568</v>
      </c>
      <c r="AV35" s="9">
        <v>8.8416600514645349</v>
      </c>
      <c r="AW35" s="9">
        <v>2.4666877825853892</v>
      </c>
      <c r="AX35" s="9">
        <v>0.6554646821907939</v>
      </c>
      <c r="AY35" s="9">
        <v>1.5988886037805981</v>
      </c>
      <c r="AZ35" s="9">
        <v>6.1381936242545683</v>
      </c>
      <c r="BA35" s="9">
        <v>9.2519698114387552</v>
      </c>
      <c r="BB35" s="9">
        <v>9.7559953335321072</v>
      </c>
      <c r="BC35" s="9">
        <v>6.3791220734448606</v>
      </c>
      <c r="BD35" s="9">
        <v>6.178776718916402</v>
      </c>
    </row>
    <row r="36" spans="3:56" x14ac:dyDescent="0.25">
      <c r="C36" s="111">
        <v>34.205500000000001</v>
      </c>
      <c r="F36" s="111">
        <v>7.4870000000000001</v>
      </c>
      <c r="G36" s="112">
        <v>320</v>
      </c>
      <c r="J36" s="111">
        <v>2290.88</v>
      </c>
      <c r="K36" s="111">
        <v>2273.7399999999998</v>
      </c>
      <c r="L36" s="91">
        <v>7.5933370825797368</v>
      </c>
      <c r="M36" s="12">
        <v>1159.8780131529529</v>
      </c>
      <c r="N36" s="11">
        <v>55.655139530847862</v>
      </c>
      <c r="O36" s="11">
        <v>2169.9443704072387</v>
      </c>
      <c r="P36" s="11">
        <v>48.140490061913155</v>
      </c>
      <c r="Q36" s="11">
        <v>1.084327310395313</v>
      </c>
      <c r="R36" s="11">
        <v>0.68867793769524466</v>
      </c>
      <c r="S36" s="13">
        <v>18.771982235433384</v>
      </c>
      <c r="T36" s="14">
        <v>1028.1860743858613</v>
      </c>
      <c r="U36" s="91">
        <v>7.6423412148216361</v>
      </c>
      <c r="V36" s="12">
        <v>1052.1552222854209</v>
      </c>
      <c r="W36" s="11">
        <v>55.107253339060996</v>
      </c>
      <c r="X36" s="11">
        <v>2170.9173397525819</v>
      </c>
      <c r="Y36" s="11">
        <v>47.715406908356748</v>
      </c>
      <c r="Z36" s="11">
        <v>1.1438265273380206</v>
      </c>
      <c r="AA36" s="11">
        <v>0.72127442184288137</v>
      </c>
      <c r="AB36" s="13">
        <v>18.928334607215447</v>
      </c>
      <c r="AC36" s="14">
        <v>1027.0454858076839</v>
      </c>
      <c r="AD36" s="15">
        <v>4</v>
      </c>
      <c r="AE36" s="9">
        <v>1.3189070400594993</v>
      </c>
      <c r="AF36" s="9">
        <v>6.0023937582329854</v>
      </c>
      <c r="AG36" s="9">
        <v>9.2472751758130549</v>
      </c>
      <c r="AH36" s="9">
        <v>13.940673758805625</v>
      </c>
      <c r="AI36" s="9">
        <v>8.7910627445417493</v>
      </c>
      <c r="AJ36" s="9">
        <v>2.4819624930651645</v>
      </c>
      <c r="AK36" s="9">
        <v>0.69217792199788808</v>
      </c>
      <c r="AL36" s="9">
        <v>1.5895974707290952</v>
      </c>
      <c r="AM36" s="9">
        <v>6.097871344806995</v>
      </c>
      <c r="AN36" s="9">
        <v>9.1753300589984867</v>
      </c>
      <c r="AO36" s="9">
        <v>9.6868258582389757</v>
      </c>
      <c r="AP36" s="9">
        <v>6.3504358646526882</v>
      </c>
      <c r="AQ36" s="9">
        <v>6.1532916386540135</v>
      </c>
      <c r="AR36" s="9">
        <v>1.2808710496934226</v>
      </c>
      <c r="AS36" s="9">
        <v>6.0469066927470827</v>
      </c>
      <c r="AT36" s="9">
        <v>9.3003258705507967</v>
      </c>
      <c r="AU36" s="9">
        <v>14.066394057922219</v>
      </c>
      <c r="AV36" s="9">
        <v>8.8410744667951491</v>
      </c>
      <c r="AW36" s="9">
        <v>2.465822308009165</v>
      </c>
      <c r="AX36" s="9">
        <v>0.65425654456687499</v>
      </c>
      <c r="AY36" s="9">
        <v>1.5986270786009469</v>
      </c>
      <c r="AZ36" s="9">
        <v>6.1377077527150021</v>
      </c>
      <c r="BA36" s="9">
        <v>9.2527097220180732</v>
      </c>
      <c r="BB36" s="9">
        <v>9.7557577254866104</v>
      </c>
      <c r="BC36" s="9">
        <v>6.3774875080065705</v>
      </c>
      <c r="BD36" s="9">
        <v>6.1772278749477865</v>
      </c>
    </row>
    <row r="37" spans="3:56" x14ac:dyDescent="0.25">
      <c r="C37" s="111">
        <v>34.264000000000003</v>
      </c>
      <c r="F37" s="111">
        <v>5.7130000000000001</v>
      </c>
      <c r="G37" s="112">
        <v>516</v>
      </c>
      <c r="J37" s="111">
        <v>2318.46</v>
      </c>
      <c r="K37" s="111">
        <v>2319.66</v>
      </c>
      <c r="L37" s="91">
        <v>7.5480242413207206</v>
      </c>
      <c r="M37" s="12">
        <v>1268.1410665841961</v>
      </c>
      <c r="N37" s="11">
        <v>64.726235717839643</v>
      </c>
      <c r="O37" s="11">
        <v>2213.126370058787</v>
      </c>
      <c r="P37" s="11">
        <v>41.807394223373066</v>
      </c>
      <c r="Q37" s="11">
        <v>0.90510373250150977</v>
      </c>
      <c r="R37" s="11">
        <v>0.57488162674668863</v>
      </c>
      <c r="S37" s="13">
        <v>18.903140733516317</v>
      </c>
      <c r="T37" s="14">
        <v>1029.3784096069226</v>
      </c>
      <c r="U37" s="91">
        <v>7.5798385403538138</v>
      </c>
      <c r="V37" s="12">
        <v>1238.181910606939</v>
      </c>
      <c r="W37" s="11">
        <v>64.828163867819185</v>
      </c>
      <c r="X37" s="11">
        <v>2212.6598228145267</v>
      </c>
      <c r="Y37" s="11">
        <v>42.172013317654027</v>
      </c>
      <c r="Z37" s="11">
        <v>1.0106204719925598</v>
      </c>
      <c r="AA37" s="11">
        <v>0.63734413320805805</v>
      </c>
      <c r="AB37" s="13">
        <v>18.87470846437698</v>
      </c>
      <c r="AC37" s="14">
        <v>1027.0918656059366</v>
      </c>
      <c r="AD37" s="15">
        <v>4</v>
      </c>
      <c r="AE37" s="9">
        <v>1.2920872161635955</v>
      </c>
      <c r="AF37" s="9">
        <v>6.0140983788623812</v>
      </c>
      <c r="AG37" s="9">
        <v>9.2717773546456765</v>
      </c>
      <c r="AH37" s="9">
        <v>14.014331065801334</v>
      </c>
      <c r="AI37" s="9">
        <v>8.8035742014969589</v>
      </c>
      <c r="AJ37" s="9">
        <v>2.4622624090294951</v>
      </c>
      <c r="AK37" s="9">
        <v>0.65058334709041477</v>
      </c>
      <c r="AL37" s="9">
        <v>1.5848435250113999</v>
      </c>
      <c r="AM37" s="9">
        <v>6.1082698567846743</v>
      </c>
      <c r="AN37" s="9">
        <v>9.2105371860691125</v>
      </c>
      <c r="AO37" s="9">
        <v>9.7129396341138534</v>
      </c>
      <c r="AP37" s="9">
        <v>6.3324891133528372</v>
      </c>
      <c r="AQ37" s="9">
        <v>6.1353691862827837</v>
      </c>
      <c r="AR37" s="9">
        <v>1.281020733609771</v>
      </c>
      <c r="AS37" s="9">
        <v>6.0466876115173971</v>
      </c>
      <c r="AT37" s="9">
        <v>9.2997288554238562</v>
      </c>
      <c r="AU37" s="9">
        <v>14.066030605450541</v>
      </c>
      <c r="AV37" s="9">
        <v>8.8407596131794488</v>
      </c>
      <c r="AW37" s="9">
        <v>2.465356209530372</v>
      </c>
      <c r="AX37" s="9">
        <v>0.65360297110223087</v>
      </c>
      <c r="AY37" s="9">
        <v>1.5984868890010864</v>
      </c>
      <c r="AZ37" s="9">
        <v>6.1374478548627689</v>
      </c>
      <c r="BA37" s="9">
        <v>9.2531162849290514</v>
      </c>
      <c r="BB37" s="9">
        <v>9.7556303155949884</v>
      </c>
      <c r="BC37" s="9">
        <v>6.3766076135643806</v>
      </c>
      <c r="BD37" s="9">
        <v>6.1763935145888116</v>
      </c>
    </row>
    <row r="38" spans="3:56" x14ac:dyDescent="0.25">
      <c r="C38" s="111">
        <v>32.895600000000002</v>
      </c>
      <c r="F38" s="111">
        <v>15.96</v>
      </c>
      <c r="G38" s="112">
        <v>2</v>
      </c>
      <c r="J38" s="111">
        <v>2209.85</v>
      </c>
      <c r="K38" s="111">
        <v>1990.56</v>
      </c>
      <c r="L38" s="91">
        <v>8.0631602069245485</v>
      </c>
      <c r="M38" s="12">
        <v>363.22345967940146</v>
      </c>
      <c r="N38" s="11">
        <v>13.375069896366025</v>
      </c>
      <c r="O38" s="11">
        <v>1819.6671998930851</v>
      </c>
      <c r="P38" s="11">
        <v>157.51773021054868</v>
      </c>
      <c r="Q38" s="11">
        <v>3.8084027785736372</v>
      </c>
      <c r="R38" s="11">
        <v>2.4414312839439534</v>
      </c>
      <c r="S38" s="13">
        <v>11.293282209418864</v>
      </c>
      <c r="T38" s="14">
        <v>1024.1481439762144</v>
      </c>
      <c r="U38" s="91">
        <v>8.2370054793744902</v>
      </c>
      <c r="V38" s="12">
        <v>225.92368890216991</v>
      </c>
      <c r="W38" s="11">
        <v>11.92455994997299</v>
      </c>
      <c r="X38" s="11">
        <v>1825.6903350008856</v>
      </c>
      <c r="Y38" s="11">
        <v>152.94510504914115</v>
      </c>
      <c r="Z38" s="11">
        <v>3.6919100580774566</v>
      </c>
      <c r="AA38" s="11">
        <v>2.3219164629667</v>
      </c>
      <c r="AB38" s="13">
        <v>11.462088124719243</v>
      </c>
      <c r="AC38" s="14">
        <v>1026.0072330901994</v>
      </c>
      <c r="AD38" s="15">
        <v>4</v>
      </c>
      <c r="AE38" s="9">
        <v>1.4338778304655297</v>
      </c>
      <c r="AF38" s="9">
        <v>5.929464300340042</v>
      </c>
      <c r="AG38" s="9">
        <v>9.1258227286695845</v>
      </c>
      <c r="AH38" s="9">
        <v>13.591249501124997</v>
      </c>
      <c r="AI38" s="9">
        <v>8.7077997704086858</v>
      </c>
      <c r="AJ38" s="9">
        <v>2.5704480010405337</v>
      </c>
      <c r="AK38" s="9">
        <v>0.86805761621745037</v>
      </c>
      <c r="AL38" s="9">
        <v>1.6031749008466005</v>
      </c>
      <c r="AM38" s="9">
        <v>6.0371117362529914</v>
      </c>
      <c r="AN38" s="9">
        <v>8.9814367972504652</v>
      </c>
      <c r="AO38" s="9">
        <v>9.5409840430878443</v>
      </c>
      <c r="AP38" s="9">
        <v>6.3981575346228539</v>
      </c>
      <c r="AQ38" s="9">
        <v>6.2050591665038786</v>
      </c>
      <c r="AR38" s="9">
        <v>1.2775194093169324</v>
      </c>
      <c r="AS38" s="9">
        <v>6.0520207242268143</v>
      </c>
      <c r="AT38" s="9">
        <v>9.3138970137231993</v>
      </c>
      <c r="AU38" s="9">
        <v>14.074708889698645</v>
      </c>
      <c r="AV38" s="9">
        <v>8.8482869678400249</v>
      </c>
      <c r="AW38" s="9">
        <v>2.4763598446890462</v>
      </c>
      <c r="AX38" s="9">
        <v>0.6685077221518021</v>
      </c>
      <c r="AY38" s="9">
        <v>1.6019187368258399</v>
      </c>
      <c r="AZ38" s="9">
        <v>6.143913827006612</v>
      </c>
      <c r="BA38" s="9">
        <v>9.2450303589421399</v>
      </c>
      <c r="BB38" s="9">
        <v>9.7587416789427408</v>
      </c>
      <c r="BC38" s="9">
        <v>6.3974596365213898</v>
      </c>
      <c r="BD38" s="9">
        <v>6.1960551150757217</v>
      </c>
    </row>
    <row r="39" spans="3:56" x14ac:dyDescent="0.25">
      <c r="C39" s="111">
        <v>32.930100000000003</v>
      </c>
      <c r="F39" s="111">
        <v>15.236000000000001</v>
      </c>
      <c r="G39" s="112">
        <v>30</v>
      </c>
      <c r="J39" s="111">
        <v>2208.83</v>
      </c>
      <c r="K39" s="111">
        <v>1993.4</v>
      </c>
      <c r="L39" s="91">
        <v>8.06491067825751</v>
      </c>
      <c r="M39" s="12">
        <v>360.08506052647857</v>
      </c>
      <c r="N39" s="11">
        <v>13.548393871463656</v>
      </c>
      <c r="O39" s="11">
        <v>1825.1659600371875</v>
      </c>
      <c r="P39" s="11">
        <v>154.6856460913491</v>
      </c>
      <c r="Q39" s="11">
        <v>3.7193260366653971</v>
      </c>
      <c r="R39" s="11">
        <v>2.3814854225159787</v>
      </c>
      <c r="S39" s="13">
        <v>11.408490032938703</v>
      </c>
      <c r="T39" s="14">
        <v>1024.4595065493329</v>
      </c>
      <c r="U39" s="91">
        <v>8.2284140376756447</v>
      </c>
      <c r="V39" s="12">
        <v>231.04492663011183</v>
      </c>
      <c r="W39" s="11">
        <v>12.192387362342894</v>
      </c>
      <c r="X39" s="11">
        <v>1830.7198010642774</v>
      </c>
      <c r="Y39" s="11">
        <v>150.48781157337993</v>
      </c>
      <c r="Z39" s="11">
        <v>3.6319440715793938</v>
      </c>
      <c r="AA39" s="11">
        <v>2.284377392055116</v>
      </c>
      <c r="AB39" s="13">
        <v>11.568541442125296</v>
      </c>
      <c r="AC39" s="14">
        <v>1026.0345722314241</v>
      </c>
      <c r="AD39" s="15">
        <v>4</v>
      </c>
      <c r="AE39" s="9">
        <v>1.4245172896898299</v>
      </c>
      <c r="AF39" s="9">
        <v>5.9354961315471249</v>
      </c>
      <c r="AG39" s="9">
        <v>9.1367630230724366</v>
      </c>
      <c r="AH39" s="9">
        <v>13.620504577941416</v>
      </c>
      <c r="AI39" s="9">
        <v>8.7150896561866098</v>
      </c>
      <c r="AJ39" s="9">
        <v>2.5636571180716214</v>
      </c>
      <c r="AK39" s="9">
        <v>0.85447249257895597</v>
      </c>
      <c r="AL39" s="9">
        <v>1.6019750205858518</v>
      </c>
      <c r="AM39" s="9">
        <v>6.042098123095216</v>
      </c>
      <c r="AN39" s="9">
        <v>8.9970817447509219</v>
      </c>
      <c r="AO39" s="9">
        <v>9.5529866780277555</v>
      </c>
      <c r="AP39" s="9">
        <v>6.3953031036866799</v>
      </c>
      <c r="AQ39" s="9">
        <v>6.2016867808051943</v>
      </c>
      <c r="AR39" s="9">
        <v>1.2776076844470863</v>
      </c>
      <c r="AS39" s="9">
        <v>6.0518809108964069</v>
      </c>
      <c r="AT39" s="9">
        <v>9.313534589932841</v>
      </c>
      <c r="AU39" s="9">
        <v>14.07448547239666</v>
      </c>
      <c r="AV39" s="9">
        <v>8.8480929702686133</v>
      </c>
      <c r="AW39" s="9">
        <v>2.4760797792205338</v>
      </c>
      <c r="AX39" s="9">
        <v>0.66814131761655549</v>
      </c>
      <c r="AY39" s="9">
        <v>1.6018282201118006</v>
      </c>
      <c r="AZ39" s="9">
        <v>6.1437406919359292</v>
      </c>
      <c r="BA39" s="9">
        <v>9.2451969554542881</v>
      </c>
      <c r="BB39" s="9">
        <v>9.7586598043928507</v>
      </c>
      <c r="BC39" s="9">
        <v>6.3969266945137893</v>
      </c>
      <c r="BD39" s="9">
        <v>6.195555395731418</v>
      </c>
    </row>
    <row r="40" spans="3:56" x14ac:dyDescent="0.25">
      <c r="C40" s="111">
        <v>33.000100000000003</v>
      </c>
      <c r="F40" s="111">
        <v>15.013999999999999</v>
      </c>
      <c r="G40" s="112">
        <v>40</v>
      </c>
      <c r="J40" s="111">
        <v>2210.81</v>
      </c>
      <c r="K40" s="111">
        <v>2000.4</v>
      </c>
      <c r="L40" s="91">
        <v>8.0560926630102934</v>
      </c>
      <c r="M40" s="12">
        <v>368.44480703074385</v>
      </c>
      <c r="N40" s="11">
        <v>13.950988397629597</v>
      </c>
      <c r="O40" s="11">
        <v>1834.9994026875488</v>
      </c>
      <c r="P40" s="11">
        <v>151.44960891482143</v>
      </c>
      <c r="Q40" s="11">
        <v>3.6330590386717154</v>
      </c>
      <c r="R40" s="11">
        <v>2.3257591790959169</v>
      </c>
      <c r="S40" s="13">
        <v>11.557990545142596</v>
      </c>
      <c r="T40" s="14">
        <v>1024.6061892800562</v>
      </c>
      <c r="U40" s="91">
        <v>8.2163249151617048</v>
      </c>
      <c r="V40" s="12">
        <v>238.76892453912004</v>
      </c>
      <c r="W40" s="11">
        <v>12.594792297278913</v>
      </c>
      <c r="X40" s="11">
        <v>1840.423803576334</v>
      </c>
      <c r="Y40" s="11">
        <v>147.38140412638688</v>
      </c>
      <c r="Z40" s="11">
        <v>3.5556793126655415</v>
      </c>
      <c r="AA40" s="11">
        <v>2.2367538087268981</v>
      </c>
      <c r="AB40" s="13">
        <v>11.720645877232753</v>
      </c>
      <c r="AC40" s="14">
        <v>1026.0900439755123</v>
      </c>
      <c r="AD40" s="15">
        <v>4</v>
      </c>
      <c r="AE40" s="9">
        <v>1.4217674622951215</v>
      </c>
      <c r="AF40" s="9">
        <v>5.9370617133227048</v>
      </c>
      <c r="AG40" s="9">
        <v>9.1394604340300969</v>
      </c>
      <c r="AH40" s="9">
        <v>13.629032419415676</v>
      </c>
      <c r="AI40" s="9">
        <v>8.7169160808496127</v>
      </c>
      <c r="AJ40" s="9">
        <v>2.5610610409719836</v>
      </c>
      <c r="AK40" s="9">
        <v>0.84973730642758738</v>
      </c>
      <c r="AL40" s="9">
        <v>1.6013950245746171</v>
      </c>
      <c r="AM40" s="9">
        <v>6.0432526759715612</v>
      </c>
      <c r="AN40" s="9">
        <v>9.0019860402086422</v>
      </c>
      <c r="AO40" s="9">
        <v>9.5564702235489261</v>
      </c>
      <c r="AP40" s="9">
        <v>6.3933709617742744</v>
      </c>
      <c r="AQ40" s="9">
        <v>6.1996632500606577</v>
      </c>
      <c r="AR40" s="9">
        <v>1.2777867934068192</v>
      </c>
      <c r="AS40" s="9">
        <v>6.0515980833514256</v>
      </c>
      <c r="AT40" s="9">
        <v>9.3128000670458597</v>
      </c>
      <c r="AU40" s="9">
        <v>14.0740329104718</v>
      </c>
      <c r="AV40" s="9">
        <v>8.8477000302251501</v>
      </c>
      <c r="AW40" s="9">
        <v>2.475511958840952</v>
      </c>
      <c r="AX40" s="9">
        <v>0.66739647285550185</v>
      </c>
      <c r="AY40" s="9">
        <v>1.6016452098559495</v>
      </c>
      <c r="AZ40" s="9">
        <v>6.1433910419477815</v>
      </c>
      <c r="BA40" s="9">
        <v>9.2455410138079479</v>
      </c>
      <c r="BB40" s="9">
        <v>9.7584942381755369</v>
      </c>
      <c r="BC40" s="9">
        <v>6.3958465577644761</v>
      </c>
      <c r="BD40" s="9">
        <v>6.194542158324003</v>
      </c>
    </row>
    <row r="41" spans="3:56" x14ac:dyDescent="0.25">
      <c r="C41" s="111">
        <v>33.150399999999998</v>
      </c>
      <c r="F41" s="111">
        <v>14.206</v>
      </c>
      <c r="G41" s="112">
        <v>50</v>
      </c>
      <c r="J41" s="111">
        <v>2217.35</v>
      </c>
      <c r="K41" s="111">
        <v>2018.59</v>
      </c>
      <c r="L41" s="91">
        <v>8.040010902899505</v>
      </c>
      <c r="M41" s="12">
        <v>384.79592669507701</v>
      </c>
      <c r="N41" s="11">
        <v>14.921712140300764</v>
      </c>
      <c r="O41" s="11">
        <v>1859.6986578217347</v>
      </c>
      <c r="P41" s="11">
        <v>143.96963003796432</v>
      </c>
      <c r="Q41" s="11">
        <v>3.442338734496635</v>
      </c>
      <c r="R41" s="11">
        <v>2.2008669976251545</v>
      </c>
      <c r="S41" s="13">
        <v>11.934148205295189</v>
      </c>
      <c r="T41" s="14">
        <v>1024.9388935958518</v>
      </c>
      <c r="U41" s="91">
        <v>8.1876592842235532</v>
      </c>
      <c r="V41" s="12">
        <v>258.29259463504519</v>
      </c>
      <c r="W41" s="11">
        <v>13.612584511024981</v>
      </c>
      <c r="X41" s="11">
        <v>1864.683836754903</v>
      </c>
      <c r="Y41" s="11">
        <v>140.29357873407182</v>
      </c>
      <c r="Z41" s="11">
        <v>3.382029277750112</v>
      </c>
      <c r="AA41" s="11">
        <v>2.1282091247401089</v>
      </c>
      <c r="AB41" s="13">
        <v>12.097862838240783</v>
      </c>
      <c r="AC41" s="14">
        <v>1026.209154378724</v>
      </c>
      <c r="AD41" s="15">
        <v>4</v>
      </c>
      <c r="AE41" s="9">
        <v>1.4114118084966414</v>
      </c>
      <c r="AF41" s="9">
        <v>5.9443869828818219</v>
      </c>
      <c r="AG41" s="9">
        <v>9.1511825918955445</v>
      </c>
      <c r="AH41" s="9">
        <v>13.661901621271571</v>
      </c>
      <c r="AI41" s="9">
        <v>8.7255320548420592</v>
      </c>
      <c r="AJ41" s="9">
        <v>2.5529216984259282</v>
      </c>
      <c r="AK41" s="9">
        <v>0.83408669956166237</v>
      </c>
      <c r="AL41" s="9">
        <v>1.6002703863710748</v>
      </c>
      <c r="AM41" s="9">
        <v>6.049163001015752</v>
      </c>
      <c r="AN41" s="9">
        <v>9.0208567325056972</v>
      </c>
      <c r="AO41" s="9">
        <v>9.5708264050702692</v>
      </c>
      <c r="AP41" s="9">
        <v>6.3899758605392583</v>
      </c>
      <c r="AQ41" s="9">
        <v>6.1957160549575425</v>
      </c>
      <c r="AR41" s="9">
        <v>1.2781713659303604</v>
      </c>
      <c r="AS41" s="9">
        <v>6.0509946668903574</v>
      </c>
      <c r="AT41" s="9">
        <v>9.31122669682434</v>
      </c>
      <c r="AU41" s="9">
        <v>14.073064570568572</v>
      </c>
      <c r="AV41" s="9">
        <v>8.8468593945324887</v>
      </c>
      <c r="AW41" s="9">
        <v>2.4742946987222942</v>
      </c>
      <c r="AX41" s="9">
        <v>0.66579070966364995</v>
      </c>
      <c r="AY41" s="9">
        <v>1.6012551773349868</v>
      </c>
      <c r="AZ41" s="9">
        <v>6.1426476817909856</v>
      </c>
      <c r="BA41" s="9">
        <v>9.246306974743904</v>
      </c>
      <c r="BB41" s="9">
        <v>9.7581412508879914</v>
      </c>
      <c r="BC41" s="9">
        <v>6.3935327146181065</v>
      </c>
      <c r="BD41" s="9">
        <v>6.19236965262012</v>
      </c>
    </row>
    <row r="42" spans="3:56" x14ac:dyDescent="0.25">
      <c r="C42" s="111">
        <v>33.332299999999996</v>
      </c>
      <c r="F42" s="111">
        <v>10.036</v>
      </c>
      <c r="G42" s="112">
        <v>100</v>
      </c>
      <c r="J42" s="111">
        <v>2218.5100000000002</v>
      </c>
      <c r="K42" s="111">
        <v>2111.36</v>
      </c>
      <c r="L42" s="91">
        <v>7.8669566204826351</v>
      </c>
      <c r="M42" s="12">
        <v>594.16656008494033</v>
      </c>
      <c r="N42" s="11">
        <v>26.291698535270882</v>
      </c>
      <c r="O42" s="11">
        <v>1996.2683308551184</v>
      </c>
      <c r="P42" s="11">
        <v>88.799970609610881</v>
      </c>
      <c r="Q42" s="11">
        <v>2.097480386119587</v>
      </c>
      <c r="R42" s="11">
        <v>1.3317734309049101</v>
      </c>
      <c r="S42" s="13">
        <v>15.610679650316822</v>
      </c>
      <c r="T42" s="14">
        <v>1026.0973118732895</v>
      </c>
      <c r="U42" s="91">
        <v>7.9487213091771363</v>
      </c>
      <c r="V42" s="12">
        <v>479.72554074737837</v>
      </c>
      <c r="W42" s="11">
        <v>25.255504463647235</v>
      </c>
      <c r="X42" s="11">
        <v>1998.9684464691688</v>
      </c>
      <c r="Y42" s="11">
        <v>87.136049067184061</v>
      </c>
      <c r="Z42" s="11">
        <v>2.0985691691831092</v>
      </c>
      <c r="AA42" s="11">
        <v>1.3210737687823924</v>
      </c>
      <c r="AB42" s="13">
        <v>15.819893916636754</v>
      </c>
      <c r="AC42" s="14">
        <v>1026.3533158058801</v>
      </c>
      <c r="AD42" s="15">
        <v>4</v>
      </c>
      <c r="AE42" s="9">
        <v>1.3540895619520088</v>
      </c>
      <c r="AF42" s="9">
        <v>5.9865563473307448</v>
      </c>
      <c r="AG42" s="9">
        <v>9.2187627155440293</v>
      </c>
      <c r="AH42" s="9">
        <v>13.84002291942563</v>
      </c>
      <c r="AI42" s="9">
        <v>8.7744677237378905</v>
      </c>
      <c r="AJ42" s="9">
        <v>2.5151441429865331</v>
      </c>
      <c r="AK42" s="9">
        <v>0.75601567131603531</v>
      </c>
      <c r="AL42" s="9">
        <v>1.5973334697098209</v>
      </c>
      <c r="AM42" s="9">
        <v>6.0852935665741024</v>
      </c>
      <c r="AN42" s="9">
        <v>9.1185645079963855</v>
      </c>
      <c r="AO42" s="9">
        <v>9.6488442364157621</v>
      </c>
      <c r="AP42" s="9">
        <v>6.3823017228943035</v>
      </c>
      <c r="AQ42" s="9">
        <v>6.1850341609308286</v>
      </c>
      <c r="AR42" s="9">
        <v>1.2786367933557241</v>
      </c>
      <c r="AS42" s="9">
        <v>6.0502714180112784</v>
      </c>
      <c r="AT42" s="9">
        <v>9.3093293838358697</v>
      </c>
      <c r="AU42" s="9">
        <v>14.071898763299439</v>
      </c>
      <c r="AV42" s="9">
        <v>8.8458475872696898</v>
      </c>
      <c r="AW42" s="9">
        <v>2.4728250168068469</v>
      </c>
      <c r="AX42" s="9">
        <v>0.66383532642344822</v>
      </c>
      <c r="AY42" s="9">
        <v>1.6007884325677502</v>
      </c>
      <c r="AZ42" s="9">
        <v>6.1417614349304452</v>
      </c>
      <c r="BA42" s="9">
        <v>9.2472833486148112</v>
      </c>
      <c r="BB42" s="9">
        <v>9.7577185962596626</v>
      </c>
      <c r="BC42" s="9">
        <v>6.3907420605569074</v>
      </c>
      <c r="BD42" s="9">
        <v>6.189745841659442</v>
      </c>
    </row>
    <row r="43" spans="3:56" x14ac:dyDescent="0.25">
      <c r="C43" s="111">
        <v>33.893099999999997</v>
      </c>
      <c r="F43" s="111">
        <v>9.1359999999999992</v>
      </c>
      <c r="G43" s="112">
        <v>170</v>
      </c>
      <c r="J43" s="111">
        <v>2249.96</v>
      </c>
      <c r="K43" s="111">
        <v>2191.4499999999998</v>
      </c>
      <c r="L43" s="91">
        <v>7.7182944045712727</v>
      </c>
      <c r="M43" s="12">
        <v>861.4085475212089</v>
      </c>
      <c r="N43" s="11">
        <v>39.149871066098974</v>
      </c>
      <c r="O43" s="11">
        <v>2087.5052274173604</v>
      </c>
      <c r="P43" s="11">
        <v>64.794901516540293</v>
      </c>
      <c r="Q43" s="11">
        <v>1.5053088676366531</v>
      </c>
      <c r="R43" s="11">
        <v>0.95620361012905886</v>
      </c>
      <c r="S43" s="13">
        <v>17.733626778870065</v>
      </c>
      <c r="T43" s="14">
        <v>1027.0021205120017</v>
      </c>
      <c r="U43" s="91">
        <v>7.7868953826306431</v>
      </c>
      <c r="V43" s="12">
        <v>726.6985082631719</v>
      </c>
      <c r="W43" s="11">
        <v>38.131382961957144</v>
      </c>
      <c r="X43" s="11">
        <v>2089.7187703395184</v>
      </c>
      <c r="Y43" s="11">
        <v>63.599846698524331</v>
      </c>
      <c r="Z43" s="11">
        <v>1.5271743895440359</v>
      </c>
      <c r="AA43" s="11">
        <v>0.96244899862623978</v>
      </c>
      <c r="AB43" s="13">
        <v>17.996712201676946</v>
      </c>
      <c r="AC43" s="14">
        <v>1026.7978266505502</v>
      </c>
      <c r="AD43" s="15">
        <v>4</v>
      </c>
      <c r="AE43" s="9">
        <v>1.3424788407170059</v>
      </c>
      <c r="AF43" s="9">
        <v>5.9913971689937995</v>
      </c>
      <c r="AG43" s="9">
        <v>9.2263811421589619</v>
      </c>
      <c r="AH43" s="9">
        <v>13.873818102031358</v>
      </c>
      <c r="AI43" s="9">
        <v>8.7792679615421569</v>
      </c>
      <c r="AJ43" s="9">
        <v>2.501578676372652</v>
      </c>
      <c r="AK43" s="9">
        <v>0.73156861072482149</v>
      </c>
      <c r="AL43" s="9">
        <v>1.5940294114180127</v>
      </c>
      <c r="AM43" s="9">
        <v>6.0885963912535441</v>
      </c>
      <c r="AN43" s="9">
        <v>9.1399446483673401</v>
      </c>
      <c r="AO43" s="9">
        <v>9.661921406646762</v>
      </c>
      <c r="AP43" s="9">
        <v>6.3678554114526609</v>
      </c>
      <c r="AQ43" s="9">
        <v>6.1707801704584151</v>
      </c>
      <c r="AR43" s="9">
        <v>1.2800717119931282</v>
      </c>
      <c r="AS43" s="9">
        <v>6.0480900956626744</v>
      </c>
      <c r="AT43" s="9">
        <v>9.3035271574743046</v>
      </c>
      <c r="AU43" s="9">
        <v>14.068346204062545</v>
      </c>
      <c r="AV43" s="9">
        <v>8.842766250833666</v>
      </c>
      <c r="AW43" s="9">
        <v>2.4683177767926296</v>
      </c>
      <c r="AX43" s="9">
        <v>0.65772105162206118</v>
      </c>
      <c r="AY43" s="9">
        <v>1.5993854347011838</v>
      </c>
      <c r="AZ43" s="9">
        <v>6.1391202731436545</v>
      </c>
      <c r="BA43" s="9">
        <v>9.2506293118632783</v>
      </c>
      <c r="BB43" s="9">
        <v>9.7564464600239091</v>
      </c>
      <c r="BC43" s="9">
        <v>6.3822031891090072</v>
      </c>
      <c r="BD43" s="9">
        <v>6.1816922816908688</v>
      </c>
    </row>
    <row r="44" spans="3:56" x14ac:dyDescent="0.25">
      <c r="C44" s="111">
        <v>34.052700000000002</v>
      </c>
      <c r="F44" s="111">
        <v>8.3569999999999993</v>
      </c>
      <c r="G44" s="112">
        <v>230</v>
      </c>
      <c r="J44" s="111">
        <v>2265.85</v>
      </c>
      <c r="K44" s="111">
        <v>2223.41</v>
      </c>
      <c r="L44" s="91">
        <v>7.6718410031763185</v>
      </c>
      <c r="M44" s="12">
        <v>961.83192834918202</v>
      </c>
      <c r="N44" s="11">
        <v>44.837611095945242</v>
      </c>
      <c r="O44" s="11">
        <v>2120.7746135251878</v>
      </c>
      <c r="P44" s="11">
        <v>57.797775378866774</v>
      </c>
      <c r="Q44" s="11">
        <v>1.3260547880055382</v>
      </c>
      <c r="R44" s="11">
        <v>0.84215687142017359</v>
      </c>
      <c r="S44" s="13">
        <v>18.292303483829983</v>
      </c>
      <c r="T44" s="14">
        <v>1027.5238593955373</v>
      </c>
      <c r="U44" s="91">
        <v>7.7306525578545324</v>
      </c>
      <c r="V44" s="12">
        <v>839.73570214652841</v>
      </c>
      <c r="W44" s="11">
        <v>44.021266952291917</v>
      </c>
      <c r="X44" s="11">
        <v>2122.4253119965197</v>
      </c>
      <c r="Y44" s="11">
        <v>56.963421051188369</v>
      </c>
      <c r="Z44" s="11">
        <v>1.3666463413694123</v>
      </c>
      <c r="AA44" s="11">
        <v>0.86153974001966027</v>
      </c>
      <c r="AB44" s="13">
        <v>18.515359608880619</v>
      </c>
      <c r="AC44" s="14">
        <v>1026.9243480761666</v>
      </c>
      <c r="AD44" s="15">
        <v>4</v>
      </c>
      <c r="AE44" s="9">
        <v>1.3314567237809698</v>
      </c>
      <c r="AF44" s="9">
        <v>5.9969889528436831</v>
      </c>
      <c r="AG44" s="9">
        <v>9.2364243964010164</v>
      </c>
      <c r="AH44" s="9">
        <v>13.905569005621269</v>
      </c>
      <c r="AI44" s="9">
        <v>8.7853231542238817</v>
      </c>
      <c r="AJ44" s="9">
        <v>2.4924332757803729</v>
      </c>
      <c r="AK44" s="9">
        <v>0.71331570644728071</v>
      </c>
      <c r="AL44" s="9">
        <v>1.5921497757915946</v>
      </c>
      <c r="AM44" s="9">
        <v>6.0932896752035433</v>
      </c>
      <c r="AN44" s="9">
        <v>9.1571528287178676</v>
      </c>
      <c r="AO44" s="9">
        <v>9.6741648791264954</v>
      </c>
      <c r="AP44" s="9">
        <v>6.3603807113090181</v>
      </c>
      <c r="AQ44" s="9">
        <v>6.1632122398640137</v>
      </c>
      <c r="AR44" s="9">
        <v>1.2804800804213194</v>
      </c>
      <c r="AS44" s="9">
        <v>6.0474826790551148</v>
      </c>
      <c r="AT44" s="9">
        <v>9.3018889104177074</v>
      </c>
      <c r="AU44" s="9">
        <v>14.0673465101871</v>
      </c>
      <c r="AV44" s="9">
        <v>8.8418997510105406</v>
      </c>
      <c r="AW44" s="9">
        <v>2.4670415267497101</v>
      </c>
      <c r="AX44" s="9">
        <v>0.6559564584046027</v>
      </c>
      <c r="AY44" s="9">
        <v>1.598995951062443</v>
      </c>
      <c r="AZ44" s="9">
        <v>6.1383934416628314</v>
      </c>
      <c r="BA44" s="9">
        <v>9.2516730092011983</v>
      </c>
      <c r="BB44" s="9">
        <v>9.7560928351925487</v>
      </c>
      <c r="BC44" s="9">
        <v>6.379790445406174</v>
      </c>
      <c r="BD44" s="9">
        <v>6.1794096171897088</v>
      </c>
    </row>
    <row r="45" spans="3:56" x14ac:dyDescent="0.25">
      <c r="C45" s="111">
        <v>34.125599999999999</v>
      </c>
      <c r="F45" s="111">
        <v>7.3639999999999999</v>
      </c>
      <c r="G45" s="112">
        <v>320</v>
      </c>
      <c r="J45" s="111">
        <v>2282.3200000000002</v>
      </c>
      <c r="K45" s="111">
        <v>2262.63</v>
      </c>
      <c r="L45" s="91">
        <v>7.6044279926367686</v>
      </c>
      <c r="M45" s="12">
        <v>1124.4357112241769</v>
      </c>
      <c r="N45" s="11">
        <v>54.209318775488462</v>
      </c>
      <c r="O45" s="11">
        <v>2159.603559073671</v>
      </c>
      <c r="P45" s="11">
        <v>48.81712215084039</v>
      </c>
      <c r="Q45" s="11">
        <v>1.0999812787031331</v>
      </c>
      <c r="R45" s="11">
        <v>0.69839599511655182</v>
      </c>
      <c r="S45" s="13">
        <v>18.771718848127154</v>
      </c>
      <c r="T45" s="14">
        <v>1028.1417216713382</v>
      </c>
      <c r="U45" s="91">
        <v>7.651758173470748</v>
      </c>
      <c r="V45" s="12">
        <v>1024.8682368469249</v>
      </c>
      <c r="W45" s="11">
        <v>53.703355710180297</v>
      </c>
      <c r="X45" s="11">
        <v>2160.4906705147582</v>
      </c>
      <c r="Y45" s="11">
        <v>48.435973775061534</v>
      </c>
      <c r="Z45" s="11">
        <v>1.1616018401862644</v>
      </c>
      <c r="AA45" s="11">
        <v>0.73237699254882438</v>
      </c>
      <c r="AB45" s="13">
        <v>18.916508556708472</v>
      </c>
      <c r="AC45" s="14">
        <v>1026.9821413407726</v>
      </c>
      <c r="AD45" s="15">
        <v>4</v>
      </c>
      <c r="AE45" s="9">
        <v>1.3168606802889453</v>
      </c>
      <c r="AF45" s="9">
        <v>6.0041279078385994</v>
      </c>
      <c r="AG45" s="9">
        <v>9.2502298536972472</v>
      </c>
      <c r="AH45" s="9">
        <v>13.946766155866982</v>
      </c>
      <c r="AI45" s="9">
        <v>8.7930997724741768</v>
      </c>
      <c r="AJ45" s="9">
        <v>2.4815198338338065</v>
      </c>
      <c r="AK45" s="9">
        <v>0.69064930662589297</v>
      </c>
      <c r="AL45" s="9">
        <v>1.5898193450418139</v>
      </c>
      <c r="AM45" s="9">
        <v>6.0995191033199845</v>
      </c>
      <c r="AN45" s="9">
        <v>9.1778706793349496</v>
      </c>
      <c r="AO45" s="9">
        <v>9.6895228516360348</v>
      </c>
      <c r="AP45" s="9">
        <v>6.3516147428007175</v>
      </c>
      <c r="AQ45" s="9">
        <v>6.1543311894053403</v>
      </c>
      <c r="AR45" s="9">
        <v>1.2806666096093844</v>
      </c>
      <c r="AS45" s="9">
        <v>6.0472072020918253</v>
      </c>
      <c r="AT45" s="9">
        <v>9.301142533360208</v>
      </c>
      <c r="AU45" s="9">
        <v>14.066891535453232</v>
      </c>
      <c r="AV45" s="9">
        <v>8.8415054893581839</v>
      </c>
      <c r="AW45" s="9">
        <v>2.4664595217238201</v>
      </c>
      <c r="AX45" s="9">
        <v>0.65514673155577097</v>
      </c>
      <c r="AY45" s="9">
        <v>1.5988194756864476</v>
      </c>
      <c r="AZ45" s="9">
        <v>6.1380650660961207</v>
      </c>
      <c r="BA45" s="9">
        <v>9.2521630606440333</v>
      </c>
      <c r="BB45" s="9">
        <v>9.7559325369721659</v>
      </c>
      <c r="BC45" s="9">
        <v>6.3786908785626206</v>
      </c>
      <c r="BD45" s="9">
        <v>6.1783682797903037</v>
      </c>
    </row>
    <row r="46" spans="3:56" x14ac:dyDescent="0.25">
      <c r="C46" s="111">
        <v>34.285699999999999</v>
      </c>
      <c r="F46" s="111">
        <v>6.1239999999999997</v>
      </c>
      <c r="G46" s="112">
        <v>515</v>
      </c>
      <c r="J46" s="111">
        <v>2315.46</v>
      </c>
      <c r="K46" s="111">
        <v>2315.34</v>
      </c>
      <c r="L46" s="91">
        <v>7.5464812581326814</v>
      </c>
      <c r="M46" s="12">
        <v>1274.5056287905145</v>
      </c>
      <c r="N46" s="11">
        <v>64.103211103775024</v>
      </c>
      <c r="O46" s="11">
        <v>2208.9436926093254</v>
      </c>
      <c r="P46" s="11">
        <v>42.293096286899441</v>
      </c>
      <c r="Q46" s="11">
        <v>0.91608302633305738</v>
      </c>
      <c r="R46" s="11">
        <v>0.58217812509073563</v>
      </c>
      <c r="S46" s="13">
        <v>18.875842064762352</v>
      </c>
      <c r="T46" s="14">
        <v>1029.3345310799591</v>
      </c>
      <c r="U46" s="91">
        <v>7.5840281852093758</v>
      </c>
      <c r="V46" s="12">
        <v>1224.0464045595847</v>
      </c>
      <c r="W46" s="11">
        <v>64.079870466692881</v>
      </c>
      <c r="X46" s="11">
        <v>2208.7332171737835</v>
      </c>
      <c r="Y46" s="11">
        <v>42.526912359523706</v>
      </c>
      <c r="Z46" s="11">
        <v>1.0190052705789279</v>
      </c>
      <c r="AA46" s="11">
        <v>0.64265678903270262</v>
      </c>
      <c r="AB46" s="13">
        <v>18.88294906807403</v>
      </c>
      <c r="AC46" s="14">
        <v>1027.1090699910937</v>
      </c>
      <c r="AD46" s="15">
        <v>4</v>
      </c>
      <c r="AE46" s="9">
        <v>1.2984619727967452</v>
      </c>
      <c r="AF46" s="9">
        <v>6.0091763976175674</v>
      </c>
      <c r="AG46" s="9">
        <v>9.2643964225949436</v>
      </c>
      <c r="AH46" s="9">
        <v>13.995348312493821</v>
      </c>
      <c r="AI46" s="9">
        <v>8.7981130634887545</v>
      </c>
      <c r="AJ46" s="9">
        <v>2.465757731931264</v>
      </c>
      <c r="AK46" s="9">
        <v>0.65846156723484139</v>
      </c>
      <c r="AL46" s="9">
        <v>1.5847110758557486</v>
      </c>
      <c r="AM46" s="9">
        <v>6.1038384861521129</v>
      </c>
      <c r="AN46" s="9">
        <v>9.2004921237504238</v>
      </c>
      <c r="AO46" s="9">
        <v>9.704404113875114</v>
      </c>
      <c r="AP46" s="9">
        <v>6.3324342530476647</v>
      </c>
      <c r="AQ46" s="9">
        <v>6.135555299785544</v>
      </c>
      <c r="AR46" s="9">
        <v>1.281076257387288</v>
      </c>
      <c r="AS46" s="9">
        <v>6.0466065478017068</v>
      </c>
      <c r="AT46" s="9">
        <v>9.2995075956227016</v>
      </c>
      <c r="AU46" s="9">
        <v>14.065895954300276</v>
      </c>
      <c r="AV46" s="9">
        <v>8.8406429771949586</v>
      </c>
      <c r="AW46" s="9">
        <v>2.465183410780408</v>
      </c>
      <c r="AX46" s="9">
        <v>0.65336014333047632</v>
      </c>
      <c r="AY46" s="9">
        <v>1.5984350321978393</v>
      </c>
      <c r="AZ46" s="9">
        <v>6.1373518159992226</v>
      </c>
      <c r="BA46" s="9">
        <v>9.2532684500122606</v>
      </c>
      <c r="BB46" s="9">
        <v>9.7555831787346445</v>
      </c>
      <c r="BC46" s="9">
        <v>6.3762814759042259</v>
      </c>
      <c r="BD46" s="9">
        <v>6.1760841453928892</v>
      </c>
    </row>
    <row r="47" spans="3:56" x14ac:dyDescent="0.25">
      <c r="C47" s="111">
        <v>33.992600000000003</v>
      </c>
      <c r="F47" s="111">
        <v>8.0909999999999993</v>
      </c>
      <c r="G47" s="112">
        <v>230</v>
      </c>
      <c r="J47" s="111">
        <v>2262.14</v>
      </c>
      <c r="K47" s="111">
        <v>2212.3000000000002</v>
      </c>
      <c r="L47" s="91">
        <v>7.7011757947483304</v>
      </c>
      <c r="M47" s="12">
        <v>892.60967554407773</v>
      </c>
      <c r="N47" s="11">
        <v>42.004090861418547</v>
      </c>
      <c r="O47" s="11">
        <v>2109.5227589250867</v>
      </c>
      <c r="P47" s="11">
        <v>60.773150213494603</v>
      </c>
      <c r="Q47" s="11">
        <v>1.3946283415555978</v>
      </c>
      <c r="R47" s="11">
        <v>0.8852502685642597</v>
      </c>
      <c r="S47" s="13">
        <v>18.110951937047098</v>
      </c>
      <c r="T47" s="14">
        <v>1027.5180830457405</v>
      </c>
      <c r="U47" s="91">
        <v>7.7564083552333782</v>
      </c>
      <c r="V47" s="12">
        <v>787.25124678846589</v>
      </c>
      <c r="W47" s="11">
        <v>41.284502408692681</v>
      </c>
      <c r="X47" s="11">
        <v>2110.9827933862066</v>
      </c>
      <c r="Y47" s="11">
        <v>60.032704205100742</v>
      </c>
      <c r="Z47" s="11">
        <v>1.4407495475167043</v>
      </c>
      <c r="AA47" s="11">
        <v>0.9081531604898665</v>
      </c>
      <c r="AB47" s="13">
        <v>18.303432907820213</v>
      </c>
      <c r="AC47" s="14">
        <v>1026.8767034886835</v>
      </c>
      <c r="AD47" s="15">
        <v>4</v>
      </c>
      <c r="AE47" s="9">
        <v>1.3273700008588696</v>
      </c>
      <c r="AF47" s="9">
        <v>6.0002831688049625</v>
      </c>
      <c r="AG47" s="9">
        <v>9.24164826109579</v>
      </c>
      <c r="AH47" s="9">
        <v>13.917941033896829</v>
      </c>
      <c r="AI47" s="9">
        <v>8.7891027286644849</v>
      </c>
      <c r="AJ47" s="9">
        <v>2.4905920697532129</v>
      </c>
      <c r="AK47" s="9">
        <v>0.70887582182729014</v>
      </c>
      <c r="AL47" s="9">
        <v>1.5923309328730149</v>
      </c>
      <c r="AM47" s="9">
        <v>6.0962949794552443</v>
      </c>
      <c r="AN47" s="9">
        <v>9.1633419955644708</v>
      </c>
      <c r="AO47" s="9">
        <v>9.6797059214724008</v>
      </c>
      <c r="AP47" s="9">
        <v>6.3612442724909233</v>
      </c>
      <c r="AQ47" s="9">
        <v>6.1638518530102546</v>
      </c>
      <c r="AR47" s="9">
        <v>1.2803263025858915</v>
      </c>
      <c r="AS47" s="9">
        <v>6.0477107163698882</v>
      </c>
      <c r="AT47" s="9">
        <v>9.3025051418000704</v>
      </c>
      <c r="AU47" s="9">
        <v>14.067722377210858</v>
      </c>
      <c r="AV47" s="9">
        <v>8.8422255064551631</v>
      </c>
      <c r="AW47" s="9">
        <v>2.4675217859989007</v>
      </c>
      <c r="AX47" s="9">
        <v>0.65662225087058457</v>
      </c>
      <c r="AY47" s="9">
        <v>1.5991421127629701</v>
      </c>
      <c r="AZ47" s="9">
        <v>6.1386658633581543</v>
      </c>
      <c r="BA47" s="9">
        <v>9.2512752773714837</v>
      </c>
      <c r="BB47" s="9">
        <v>9.7562255650421168</v>
      </c>
      <c r="BC47" s="9">
        <v>6.3806981197127053</v>
      </c>
      <c r="BD47" s="9">
        <v>6.1802687265364042</v>
      </c>
    </row>
    <row r="48" spans="3:56" x14ac:dyDescent="0.25">
      <c r="C48" s="111">
        <v>34.090499999999999</v>
      </c>
      <c r="F48" s="111">
        <v>7.0819999999999999</v>
      </c>
      <c r="G48" s="112">
        <v>320</v>
      </c>
      <c r="J48" s="111">
        <v>2281.7199999999998</v>
      </c>
      <c r="K48" s="111">
        <v>2261.33</v>
      </c>
      <c r="L48" s="91">
        <v>7.6111632437919754</v>
      </c>
      <c r="M48" s="12">
        <v>1104.3234093051085</v>
      </c>
      <c r="N48" s="11">
        <v>53.773358194144286</v>
      </c>
      <c r="O48" s="11">
        <v>2158.5968748815703</v>
      </c>
      <c r="P48" s="11">
        <v>48.959766924285034</v>
      </c>
      <c r="Q48" s="11">
        <v>1.1032213352984233</v>
      </c>
      <c r="R48" s="11">
        <v>0.70012754395386645</v>
      </c>
      <c r="S48" s="13">
        <v>18.796873901821144</v>
      </c>
      <c r="T48" s="14">
        <v>1028.1555267143428</v>
      </c>
      <c r="U48" s="91">
        <v>7.6544869062370786</v>
      </c>
      <c r="V48" s="12">
        <v>1017.9886873608892</v>
      </c>
      <c r="W48" s="11">
        <v>53.353897801605363</v>
      </c>
      <c r="X48" s="11">
        <v>2159.3019349151946</v>
      </c>
      <c r="Y48" s="11">
        <v>48.674167283199907</v>
      </c>
      <c r="Z48" s="11">
        <v>1.1675354835402976</v>
      </c>
      <c r="AA48" s="11">
        <v>0.73607072645288241</v>
      </c>
      <c r="AB48" s="13">
        <v>18.917138217879899</v>
      </c>
      <c r="AC48" s="14">
        <v>1026.9543147608704</v>
      </c>
      <c r="AD48" s="15">
        <v>4</v>
      </c>
      <c r="AE48" s="9">
        <v>1.3125291189807742</v>
      </c>
      <c r="AF48" s="9">
        <v>6.0075588592202314</v>
      </c>
      <c r="AG48" s="9">
        <v>9.2554954461060266</v>
      </c>
      <c r="AH48" s="9">
        <v>13.959804613098242</v>
      </c>
      <c r="AI48" s="9">
        <v>8.7969721821298119</v>
      </c>
      <c r="AJ48" s="9">
        <v>2.4793205362717874</v>
      </c>
      <c r="AK48" s="9">
        <v>0.68558321233601094</v>
      </c>
      <c r="AL48" s="9">
        <v>1.589956829423131</v>
      </c>
      <c r="AM48" s="9">
        <v>6.1026199867262783</v>
      </c>
      <c r="AN48" s="9">
        <v>9.184629124136567</v>
      </c>
      <c r="AO48" s="9">
        <v>9.6953921541703014</v>
      </c>
      <c r="AP48" s="9">
        <v>6.3520718579606799</v>
      </c>
      <c r="AQ48" s="9">
        <v>6.1545863695646661</v>
      </c>
      <c r="AR48" s="9">
        <v>1.2805767992595753</v>
      </c>
      <c r="AS48" s="9">
        <v>6.0473396848827177</v>
      </c>
      <c r="AT48" s="9">
        <v>9.3015017498064285</v>
      </c>
      <c r="AU48" s="9">
        <v>14.067110468391192</v>
      </c>
      <c r="AV48" s="9">
        <v>8.841695199725736</v>
      </c>
      <c r="AW48" s="9">
        <v>2.4667396727108986</v>
      </c>
      <c r="AX48" s="9">
        <v>0.65553689320742115</v>
      </c>
      <c r="AY48" s="9">
        <v>1.5989043338631141</v>
      </c>
      <c r="AZ48" s="9">
        <v>6.1382228905329717</v>
      </c>
      <c r="BA48" s="9">
        <v>9.251926069894111</v>
      </c>
      <c r="BB48" s="9">
        <v>9.7560096219190875</v>
      </c>
      <c r="BC48" s="9">
        <v>6.3792201055997975</v>
      </c>
      <c r="BD48" s="9">
        <v>6.1788695633319586</v>
      </c>
    </row>
    <row r="49" spans="3:56" x14ac:dyDescent="0.25">
      <c r="C49" s="111">
        <v>34.256900000000002</v>
      </c>
      <c r="F49" s="111">
        <v>5.6020000000000003</v>
      </c>
      <c r="G49" s="112">
        <v>515</v>
      </c>
      <c r="J49" s="111">
        <v>2319.65</v>
      </c>
      <c r="K49" s="111">
        <v>2321.5700000000002</v>
      </c>
      <c r="L49" s="91">
        <v>7.5472898695430946</v>
      </c>
      <c r="M49" s="12">
        <v>1270.3283988745006</v>
      </c>
      <c r="N49" s="11">
        <v>65.097018716461776</v>
      </c>
      <c r="O49" s="11">
        <v>2214.8991537698835</v>
      </c>
      <c r="P49" s="11">
        <v>41.573827513655139</v>
      </c>
      <c r="Q49" s="11">
        <v>0.90015502016869198</v>
      </c>
      <c r="R49" s="11">
        <v>0.57164432894898509</v>
      </c>
      <c r="S49" s="13">
        <v>18.905777584198454</v>
      </c>
      <c r="T49" s="14">
        <v>1029.383153418104</v>
      </c>
      <c r="U49" s="91">
        <v>7.5775040489880716</v>
      </c>
      <c r="V49" s="12">
        <v>1245.8399388861728</v>
      </c>
      <c r="W49" s="11">
        <v>65.231848045761936</v>
      </c>
      <c r="X49" s="11">
        <v>2214.3668588564924</v>
      </c>
      <c r="Y49" s="11">
        <v>41.971293097745686</v>
      </c>
      <c r="Z49" s="11">
        <v>1.0058491254071928</v>
      </c>
      <c r="AA49" s="11">
        <v>0.63432706634309588</v>
      </c>
      <c r="AB49" s="13">
        <v>18.868034661142065</v>
      </c>
      <c r="AC49" s="14">
        <v>1027.0862365513544</v>
      </c>
      <c r="AD49" s="15">
        <v>4</v>
      </c>
      <c r="AE49" s="9">
        <v>1.2903549076806815</v>
      </c>
      <c r="AF49" s="9">
        <v>6.0154970117318669</v>
      </c>
      <c r="AG49" s="9">
        <v>9.2738238168883882</v>
      </c>
      <c r="AH49" s="9">
        <v>14.019523258808592</v>
      </c>
      <c r="AI49" s="9">
        <v>8.8051271267037396</v>
      </c>
      <c r="AJ49" s="9">
        <v>2.4613494188158818</v>
      </c>
      <c r="AK49" s="9">
        <v>0.64850491771056284</v>
      </c>
      <c r="AL49" s="9">
        <v>1.5849177699136499</v>
      </c>
      <c r="AM49" s="9">
        <v>6.1095308394002821</v>
      </c>
      <c r="AN49" s="9">
        <v>9.2133062505656369</v>
      </c>
      <c r="AO49" s="9">
        <v>9.7153226101426853</v>
      </c>
      <c r="AP49" s="9">
        <v>6.3326311566168334</v>
      </c>
      <c r="AQ49" s="9">
        <v>6.1354397481161813</v>
      </c>
      <c r="AR49" s="9">
        <v>1.2810025668438552</v>
      </c>
      <c r="AS49" s="9">
        <v>6.0467141584387853</v>
      </c>
      <c r="AT49" s="9">
        <v>9.2998012723404173</v>
      </c>
      <c r="AU49" s="9">
        <v>14.066074681538586</v>
      </c>
      <c r="AV49" s="9">
        <v>8.8407977934895037</v>
      </c>
      <c r="AW49" s="9">
        <v>2.4654127586290451</v>
      </c>
      <c r="AX49" s="9">
        <v>0.65368237562796594</v>
      </c>
      <c r="AY49" s="9">
        <v>1.5985038730151813</v>
      </c>
      <c r="AZ49" s="9">
        <v>6.1374793208858227</v>
      </c>
      <c r="BA49" s="9">
        <v>9.2530666572312885</v>
      </c>
      <c r="BB49" s="9">
        <v>9.7556457528812999</v>
      </c>
      <c r="BC49" s="9">
        <v>6.3767143515870019</v>
      </c>
      <c r="BD49" s="9">
        <v>6.1764947518250661</v>
      </c>
    </row>
    <row r="50" spans="3:56" x14ac:dyDescent="0.25">
      <c r="C50" s="111">
        <v>33.143900000000002</v>
      </c>
      <c r="F50" s="111">
        <v>16.844999999999999</v>
      </c>
      <c r="G50" s="112">
        <v>2</v>
      </c>
      <c r="J50" s="111">
        <v>2221.5300000000002</v>
      </c>
      <c r="K50" s="111">
        <v>1996.61</v>
      </c>
      <c r="L50" s="91">
        <v>8.0563005991076704</v>
      </c>
      <c r="M50" s="12">
        <v>371.2239665256534</v>
      </c>
      <c r="N50" s="11">
        <v>13.297801596171606</v>
      </c>
      <c r="O50" s="11">
        <v>1821.7526937257703</v>
      </c>
      <c r="P50" s="11">
        <v>161.55950467805795</v>
      </c>
      <c r="Q50" s="11">
        <v>3.9025964712313463</v>
      </c>
      <c r="R50" s="11">
        <v>2.5082077890648042</v>
      </c>
      <c r="S50" s="13">
        <v>11.153252327197304</v>
      </c>
      <c r="T50" s="14">
        <v>1024.1361545514353</v>
      </c>
      <c r="U50" s="91">
        <v>8.2439445190726541</v>
      </c>
      <c r="V50" s="12">
        <v>222.47561041254764</v>
      </c>
      <c r="W50" s="11">
        <v>11.725400148361143</v>
      </c>
      <c r="X50" s="11">
        <v>1828.3171698885028</v>
      </c>
      <c r="Y50" s="11">
        <v>156.56742996313577</v>
      </c>
      <c r="Z50" s="11">
        <v>3.7744679741662379</v>
      </c>
      <c r="AA50" s="11">
        <v>2.3751258998158145</v>
      </c>
      <c r="AB50" s="13">
        <v>11.331774930900108</v>
      </c>
      <c r="AC50" s="14">
        <v>1026.20400309877</v>
      </c>
      <c r="AD50" s="15">
        <v>4</v>
      </c>
      <c r="AE50" s="9">
        <v>1.4458561578926279</v>
      </c>
      <c r="AF50" s="9">
        <v>5.9195910277124435</v>
      </c>
      <c r="AG50" s="9">
        <v>9.1084575064668734</v>
      </c>
      <c r="AH50" s="9">
        <v>13.552445913694578</v>
      </c>
      <c r="AI50" s="9">
        <v>8.6955419821076045</v>
      </c>
      <c r="AJ50" s="9">
        <v>2.575725397668041</v>
      </c>
      <c r="AK50" s="9">
        <v>0.88107304699951972</v>
      </c>
      <c r="AL50" s="9">
        <v>1.6029789307572082</v>
      </c>
      <c r="AM50" s="9">
        <v>6.0281642980032242</v>
      </c>
      <c r="AN50" s="9">
        <v>8.9615828386719141</v>
      </c>
      <c r="AO50" s="9">
        <v>9.5240371468903096</v>
      </c>
      <c r="AP50" s="9">
        <v>6.3944994430675122</v>
      </c>
      <c r="AQ50" s="9">
        <v>6.2025093077319324</v>
      </c>
      <c r="AR50" s="9">
        <v>1.2781547343840998</v>
      </c>
      <c r="AS50" s="9">
        <v>6.0510206539400997</v>
      </c>
      <c r="AT50" s="9">
        <v>9.3112946341129312</v>
      </c>
      <c r="AU50" s="9">
        <v>14.073106353237545</v>
      </c>
      <c r="AV50" s="9">
        <v>8.8468956630811988</v>
      </c>
      <c r="AW50" s="9">
        <v>2.4743472870380758</v>
      </c>
      <c r="AX50" s="9">
        <v>0.66586033826132107</v>
      </c>
      <c r="AY50" s="9">
        <v>1.601271962940263</v>
      </c>
      <c r="AZ50" s="9">
        <v>6.1426796218756863</v>
      </c>
      <c r="BA50" s="9">
        <v>9.2462730834788118</v>
      </c>
      <c r="BB50" s="9">
        <v>9.7581564459354517</v>
      </c>
      <c r="BC50" s="9">
        <v>6.3936326306092415</v>
      </c>
      <c r="BD50" s="9">
        <v>6.1924635213102288</v>
      </c>
    </row>
    <row r="51" spans="3:56" x14ac:dyDescent="0.25">
      <c r="C51" s="111">
        <v>33.127899999999997</v>
      </c>
      <c r="F51" s="111">
        <v>16.254999999999999</v>
      </c>
      <c r="G51" s="112">
        <v>30</v>
      </c>
      <c r="J51" s="111">
        <v>2219.13</v>
      </c>
      <c r="K51" s="111">
        <v>1997.22</v>
      </c>
      <c r="L51" s="91">
        <v>8.058728562828227</v>
      </c>
      <c r="M51" s="12">
        <v>367.31781232829712</v>
      </c>
      <c r="N51" s="11">
        <v>13.390305216863318</v>
      </c>
      <c r="O51" s="11">
        <v>1824.5224021529305</v>
      </c>
      <c r="P51" s="11">
        <v>159.30729263020635</v>
      </c>
      <c r="Q51" s="11">
        <v>3.8287687383623727</v>
      </c>
      <c r="R51" s="11">
        <v>2.4581561535317973</v>
      </c>
      <c r="S51" s="13">
        <v>11.237212056473416</v>
      </c>
      <c r="T51" s="14">
        <v>1024.3838991547721</v>
      </c>
      <c r="U51" s="91">
        <v>8.2381608123105252</v>
      </c>
      <c r="V51" s="12">
        <v>225.76206047384332</v>
      </c>
      <c r="W51" s="11">
        <v>11.899731572541913</v>
      </c>
      <c r="X51" s="11">
        <v>1830.6836940205988</v>
      </c>
      <c r="Y51" s="11">
        <v>154.6365744068593</v>
      </c>
      <c r="Z51" s="11">
        <v>3.7282312619668758</v>
      </c>
      <c r="AA51" s="11">
        <v>2.345950389571489</v>
      </c>
      <c r="AB51" s="13">
        <v>11.408409988138995</v>
      </c>
      <c r="AC51" s="14">
        <v>1026.1913230757425</v>
      </c>
      <c r="AD51" s="15">
        <v>4</v>
      </c>
      <c r="AE51" s="9">
        <v>1.4382515127048909</v>
      </c>
      <c r="AF51" s="9">
        <v>5.9243698390448047</v>
      </c>
      <c r="AG51" s="9">
        <v>9.117642105978069</v>
      </c>
      <c r="AH51" s="9">
        <v>13.576240690971529</v>
      </c>
      <c r="AI51" s="9">
        <v>8.7014445032114658</v>
      </c>
      <c r="AJ51" s="9">
        <v>2.5704858846742198</v>
      </c>
      <c r="AK51" s="9">
        <v>0.87030352915119469</v>
      </c>
      <c r="AL51" s="9">
        <v>1.6019861188299156</v>
      </c>
      <c r="AM51" s="9">
        <v>6.03218855759373</v>
      </c>
      <c r="AN51" s="9">
        <v>8.9739491985698958</v>
      </c>
      <c r="AO51" s="9">
        <v>9.5335514527466731</v>
      </c>
      <c r="AP51" s="9">
        <v>6.3925114902700075</v>
      </c>
      <c r="AQ51" s="9">
        <v>6.2000618228069015</v>
      </c>
      <c r="AR51" s="9">
        <v>1.2781137951933033</v>
      </c>
      <c r="AS51" s="9">
        <v>6.0510846639667291</v>
      </c>
      <c r="AT51" s="9">
        <v>9.3114619051859595</v>
      </c>
      <c r="AU51" s="9">
        <v>14.073209239391984</v>
      </c>
      <c r="AV51" s="9">
        <v>8.8469849727037708</v>
      </c>
      <c r="AW51" s="9">
        <v>2.4744767560860437</v>
      </c>
      <c r="AX51" s="9">
        <v>0.66603166033129968</v>
      </c>
      <c r="AY51" s="9">
        <v>1.6013133129010144</v>
      </c>
      <c r="AZ51" s="9">
        <v>6.1427583235381258</v>
      </c>
      <c r="BA51" s="9">
        <v>9.2461899532342251</v>
      </c>
      <c r="BB51" s="9">
        <v>9.7581938762428404</v>
      </c>
      <c r="BC51" s="9">
        <v>6.393878635359453</v>
      </c>
      <c r="BD51" s="9">
        <v>6.1926946153179152</v>
      </c>
    </row>
    <row r="52" spans="3:56" x14ac:dyDescent="0.25">
      <c r="C52" s="111">
        <v>33.180399999999999</v>
      </c>
      <c r="F52" s="111">
        <v>15.773999999999999</v>
      </c>
      <c r="G52" s="112">
        <v>53</v>
      </c>
      <c r="J52" s="111">
        <v>2222.5500000000002</v>
      </c>
      <c r="K52" s="111">
        <v>2001.59</v>
      </c>
      <c r="L52" s="91">
        <v>8.0621934448811565</v>
      </c>
      <c r="M52" s="12">
        <v>363.37617932346842</v>
      </c>
      <c r="N52" s="11">
        <v>13.433987574382412</v>
      </c>
      <c r="O52" s="11">
        <v>1829.6307030435298</v>
      </c>
      <c r="P52" s="11">
        <v>158.52530938208739</v>
      </c>
      <c r="Q52" s="11">
        <v>3.7924030548117278</v>
      </c>
      <c r="R52" s="11">
        <v>2.4331097363134577</v>
      </c>
      <c r="S52" s="13">
        <v>11.280354097257451</v>
      </c>
      <c r="T52" s="14">
        <v>1024.6349859232591</v>
      </c>
      <c r="U52" s="91">
        <v>8.2349726424384908</v>
      </c>
      <c r="V52" s="12">
        <v>227.981102497058</v>
      </c>
      <c r="W52" s="11">
        <v>12.012979131246832</v>
      </c>
      <c r="X52" s="11">
        <v>1835.4751578707658</v>
      </c>
      <c r="Y52" s="11">
        <v>154.10186299798713</v>
      </c>
      <c r="Z52" s="11">
        <v>3.7143200867348294</v>
      </c>
      <c r="AA52" s="11">
        <v>2.337459524115137</v>
      </c>
      <c r="AB52" s="13">
        <v>11.444131917590935</v>
      </c>
      <c r="AC52" s="14">
        <v>1026.2329296713012</v>
      </c>
      <c r="AD52" s="15">
        <v>4</v>
      </c>
      <c r="AE52" s="9">
        <v>1.43215151199986</v>
      </c>
      <c r="AF52" s="9">
        <v>5.9280349475900866</v>
      </c>
      <c r="AG52" s="9">
        <v>9.1244582749990872</v>
      </c>
      <c r="AH52" s="9">
        <v>13.595244532904966</v>
      </c>
      <c r="AI52" s="9">
        <v>8.7058824700103123</v>
      </c>
      <c r="AJ52" s="9">
        <v>2.5656667497373928</v>
      </c>
      <c r="AK52" s="9">
        <v>0.86091533281367694</v>
      </c>
      <c r="AL52" s="9">
        <v>1.600981787720414</v>
      </c>
      <c r="AM52" s="9">
        <v>6.0351337312151117</v>
      </c>
      <c r="AN52" s="9">
        <v>8.9842295358130642</v>
      </c>
      <c r="AO52" s="9">
        <v>9.5411888012581478</v>
      </c>
      <c r="AP52" s="9">
        <v>6.3898161795320867</v>
      </c>
      <c r="AQ52" s="9">
        <v>6.1970633884006388</v>
      </c>
      <c r="AR52" s="9">
        <v>1.2782481269131034</v>
      </c>
      <c r="AS52" s="9">
        <v>6.0508748541166479</v>
      </c>
      <c r="AT52" s="9">
        <v>9.3109132642786303</v>
      </c>
      <c r="AU52" s="9">
        <v>14.07287183843752</v>
      </c>
      <c r="AV52" s="9">
        <v>8.8466921021511382</v>
      </c>
      <c r="AW52" s="9">
        <v>2.4740520468947378</v>
      </c>
      <c r="AX52" s="9">
        <v>0.66546912926017165</v>
      </c>
      <c r="AY52" s="9">
        <v>1.6011778011924656</v>
      </c>
      <c r="AZ52" s="9">
        <v>6.1425005088992997</v>
      </c>
      <c r="BA52" s="9">
        <v>9.2464642907494827</v>
      </c>
      <c r="BB52" s="9">
        <v>9.7580712023034426</v>
      </c>
      <c r="BC52" s="9">
        <v>6.3930717390849319</v>
      </c>
      <c r="BD52" s="9">
        <v>6.1919365114187768</v>
      </c>
    </row>
    <row r="53" spans="3:56" x14ac:dyDescent="0.25">
      <c r="C53" s="111">
        <v>33.266300000000001</v>
      </c>
      <c r="F53" s="111">
        <v>10.467000000000001</v>
      </c>
      <c r="G53" s="112">
        <v>99</v>
      </c>
      <c r="J53" s="111">
        <v>2216.63</v>
      </c>
      <c r="K53" s="111">
        <v>2098.25</v>
      </c>
      <c r="L53" s="91">
        <v>7.8936189567838033</v>
      </c>
      <c r="M53" s="12">
        <v>555.8417211749329</v>
      </c>
      <c r="N53" s="11">
        <v>24.258392919417297</v>
      </c>
      <c r="O53" s="11">
        <v>1978.9379742931987</v>
      </c>
      <c r="P53" s="11">
        <v>95.053632787383862</v>
      </c>
      <c r="Q53" s="11">
        <v>2.2468420494988752</v>
      </c>
      <c r="R53" s="11">
        <v>1.4274569516864162</v>
      </c>
      <c r="S53" s="13">
        <v>15.087430854280752</v>
      </c>
      <c r="T53" s="14">
        <v>1025.9671828844328</v>
      </c>
      <c r="U53" s="91">
        <v>7.9823942925596949</v>
      </c>
      <c r="V53" s="12">
        <v>440.22936049486327</v>
      </c>
      <c r="W53" s="11">
        <v>23.185212711719537</v>
      </c>
      <c r="X53" s="11">
        <v>1981.8575169457397</v>
      </c>
      <c r="Y53" s="11">
        <v>93.207270342540568</v>
      </c>
      <c r="Z53" s="11">
        <v>2.2455657196204108</v>
      </c>
      <c r="AA53" s="11">
        <v>1.4134145161959553</v>
      </c>
      <c r="AB53" s="13">
        <v>15.290300306218169</v>
      </c>
      <c r="AC53" s="14">
        <v>1026.3010076643013</v>
      </c>
      <c r="AD53" s="15">
        <v>4</v>
      </c>
      <c r="AE53" s="9">
        <v>1.3600891154170831</v>
      </c>
      <c r="AF53" s="9">
        <v>5.9820488005774628</v>
      </c>
      <c r="AG53" s="9">
        <v>9.2120824196321713</v>
      </c>
      <c r="AH53" s="9">
        <v>13.821467080326126</v>
      </c>
      <c r="AI53" s="9">
        <v>8.7693829478282694</v>
      </c>
      <c r="AJ53" s="9">
        <v>2.5194018226931134</v>
      </c>
      <c r="AK53" s="9">
        <v>0.76458456944306896</v>
      </c>
      <c r="AL53" s="9">
        <v>1.5975934056673817</v>
      </c>
      <c r="AM53" s="9">
        <v>6.0814693304799272</v>
      </c>
      <c r="AN53" s="9">
        <v>9.1079345761336832</v>
      </c>
      <c r="AO53" s="9">
        <v>9.640490220115165</v>
      </c>
      <c r="AP53" s="9">
        <v>6.3834812423470746</v>
      </c>
      <c r="AQ53" s="9">
        <v>6.1864717192209868</v>
      </c>
      <c r="AR53" s="9">
        <v>1.2784679191936899</v>
      </c>
      <c r="AS53" s="9">
        <v>6.050532948987736</v>
      </c>
      <c r="AT53" s="9">
        <v>9.3100169313351255</v>
      </c>
      <c r="AU53" s="9">
        <v>14.072320989067677</v>
      </c>
      <c r="AV53" s="9">
        <v>8.8462140048509053</v>
      </c>
      <c r="AW53" s="9">
        <v>2.4733578298505865</v>
      </c>
      <c r="AX53" s="9">
        <v>0.66454634865982876</v>
      </c>
      <c r="AY53" s="9">
        <v>1.6009571176623854</v>
      </c>
      <c r="AZ53" s="9">
        <v>6.1420813081007974</v>
      </c>
      <c r="BA53" s="9">
        <v>9.2469228593429893</v>
      </c>
      <c r="BB53" s="9">
        <v>9.7578713776606918</v>
      </c>
      <c r="BC53" s="9">
        <v>6.3917533991437629</v>
      </c>
      <c r="BD53" s="9">
        <v>6.1906971766615317</v>
      </c>
    </row>
    <row r="54" spans="3:56" x14ac:dyDescent="0.25">
      <c r="C54" s="111">
        <v>33.921799999999998</v>
      </c>
      <c r="F54" s="111">
        <v>8.7840000000000007</v>
      </c>
      <c r="G54" s="112">
        <v>170</v>
      </c>
      <c r="J54" s="111">
        <v>2258.19</v>
      </c>
      <c r="K54" s="111">
        <v>2191.79</v>
      </c>
      <c r="L54" s="91">
        <v>7.7484935408950033</v>
      </c>
      <c r="M54" s="12">
        <v>800.98190641032272</v>
      </c>
      <c r="N54" s="11">
        <v>36.831144295467041</v>
      </c>
      <c r="O54" s="11">
        <v>2086.4513018355851</v>
      </c>
      <c r="P54" s="11">
        <v>68.507553868947653</v>
      </c>
      <c r="Q54" s="11">
        <v>1.5910852727308666</v>
      </c>
      <c r="R54" s="11">
        <v>1.0101769468795427</v>
      </c>
      <c r="S54" s="13">
        <v>17.483694861764643</v>
      </c>
      <c r="T54" s="14">
        <v>1027.0813986648925</v>
      </c>
      <c r="U54" s="91">
        <v>7.8122707655059971</v>
      </c>
      <c r="V54" s="12">
        <v>684.97288846439255</v>
      </c>
      <c r="W54" s="11">
        <v>35.935875965514207</v>
      </c>
      <c r="X54" s="11">
        <v>2088.4234964948528</v>
      </c>
      <c r="Y54" s="11">
        <v>67.430627539632795</v>
      </c>
      <c r="Z54" s="11">
        <v>1.6189108514188777</v>
      </c>
      <c r="AA54" s="11">
        <v>1.0203183116774135</v>
      </c>
      <c r="AB54" s="13">
        <v>17.706893160811315</v>
      </c>
      <c r="AC54" s="14">
        <v>1026.8205777657477</v>
      </c>
      <c r="AD54" s="15">
        <v>4</v>
      </c>
      <c r="AE54" s="9">
        <v>1.3374074937775737</v>
      </c>
      <c r="AF54" s="9">
        <v>5.9953005002694644</v>
      </c>
      <c r="AG54" s="9">
        <v>9.232163332671087</v>
      </c>
      <c r="AH54" s="9">
        <v>13.88937729667126</v>
      </c>
      <c r="AI54" s="9">
        <v>8.7836541301727369</v>
      </c>
      <c r="AJ54" s="9">
        <v>2.4982934801415642</v>
      </c>
      <c r="AK54" s="9">
        <v>0.72466582019141201</v>
      </c>
      <c r="AL54" s="9">
        <v>1.5939632147587695</v>
      </c>
      <c r="AM54" s="9">
        <v>6.0920012313597987</v>
      </c>
      <c r="AN54" s="9">
        <v>9.1487116964346278</v>
      </c>
      <c r="AO54" s="9">
        <v>9.6689538290995731</v>
      </c>
      <c r="AP54" s="9">
        <v>6.3673580242565757</v>
      </c>
      <c r="AQ54" s="9">
        <v>6.1700620216885751</v>
      </c>
      <c r="AR54" s="9">
        <v>1.2801451466666187</v>
      </c>
      <c r="AS54" s="9">
        <v>6.0479804303617186</v>
      </c>
      <c r="AT54" s="9">
        <v>9.3032321348104645</v>
      </c>
      <c r="AU54" s="9">
        <v>14.068166067203418</v>
      </c>
      <c r="AV54" s="9">
        <v>8.8426100938766741</v>
      </c>
      <c r="AW54" s="9">
        <v>2.4680880658457149</v>
      </c>
      <c r="AX54" s="9">
        <v>0.65740455276813403</v>
      </c>
      <c r="AY54" s="9">
        <v>1.5993150785383206</v>
      </c>
      <c r="AZ54" s="9">
        <v>6.1389887668697849</v>
      </c>
      <c r="BA54" s="9">
        <v>9.250814031902145</v>
      </c>
      <c r="BB54" s="9">
        <v>9.7563825970328502</v>
      </c>
      <c r="BC54" s="9">
        <v>6.3817687619324541</v>
      </c>
      <c r="BD54" s="9">
        <v>6.1812815088353972</v>
      </c>
    </row>
    <row r="55" spans="3:56" x14ac:dyDescent="0.25">
      <c r="C55" s="111">
        <v>33.997399999999999</v>
      </c>
      <c r="F55" s="111">
        <v>7.8010000000000002</v>
      </c>
      <c r="G55" s="112">
        <v>230</v>
      </c>
      <c r="J55" s="111">
        <v>2266.06</v>
      </c>
      <c r="K55" s="111">
        <v>2212.5300000000002</v>
      </c>
      <c r="L55" s="91">
        <v>7.7175322435304574</v>
      </c>
      <c r="M55" s="12">
        <v>857.66888399346158</v>
      </c>
      <c r="N55" s="11">
        <v>40.761304200506224</v>
      </c>
      <c r="O55" s="11">
        <v>2109.3866686930755</v>
      </c>
      <c r="P55" s="11">
        <v>62.382027106418363</v>
      </c>
      <c r="Q55" s="11">
        <v>1.4313275306789031</v>
      </c>
      <c r="R55" s="11">
        <v>0.9081590248072704</v>
      </c>
      <c r="S55" s="13">
        <v>18.023876378175018</v>
      </c>
      <c r="T55" s="14">
        <v>1027.5659866332817</v>
      </c>
      <c r="U55" s="91">
        <v>7.7686269545426763</v>
      </c>
      <c r="V55" s="12">
        <v>765.28197273619969</v>
      </c>
      <c r="W55" s="11">
        <v>40.131269538765494</v>
      </c>
      <c r="X55" s="11">
        <v>2110.6556291956135</v>
      </c>
      <c r="Y55" s="11">
        <v>61.743101265621334</v>
      </c>
      <c r="Z55" s="11">
        <v>1.481759818492862</v>
      </c>
      <c r="AA55" s="11">
        <v>0.9340117027809629</v>
      </c>
      <c r="AB55" s="13">
        <v>18.190159234100616</v>
      </c>
      <c r="AC55" s="14">
        <v>1026.8805086750795</v>
      </c>
      <c r="AD55" s="15">
        <v>4</v>
      </c>
      <c r="AE55" s="9">
        <v>1.3230715830090463</v>
      </c>
      <c r="AF55" s="9">
        <v>6.0036241178472673</v>
      </c>
      <c r="AG55" s="9">
        <v>9.2466289574092926</v>
      </c>
      <c r="AH55" s="9">
        <v>13.931003607636315</v>
      </c>
      <c r="AI55" s="9">
        <v>8.7928477225565356</v>
      </c>
      <c r="AJ55" s="9">
        <v>2.4880177037421713</v>
      </c>
      <c r="AK55" s="9">
        <v>0.70329927517499713</v>
      </c>
      <c r="AL55" s="9">
        <v>1.5923529004983541</v>
      </c>
      <c r="AM55" s="9">
        <v>6.0992533683571759</v>
      </c>
      <c r="AN55" s="9">
        <v>9.1705123157776836</v>
      </c>
      <c r="AO55" s="9">
        <v>9.6856088080360969</v>
      </c>
      <c r="AP55" s="9">
        <v>6.3611157551683819</v>
      </c>
      <c r="AQ55" s="9">
        <v>6.1635386335207061</v>
      </c>
      <c r="AR55" s="9">
        <v>1.2803385843431305</v>
      </c>
      <c r="AS55" s="9">
        <v>6.0476924728735595</v>
      </c>
      <c r="AT55" s="9">
        <v>9.302455895247741</v>
      </c>
      <c r="AU55" s="9">
        <v>14.067692331993012</v>
      </c>
      <c r="AV55" s="9">
        <v>8.8421994654645939</v>
      </c>
      <c r="AW55" s="9">
        <v>2.4674834144002524</v>
      </c>
      <c r="AX55" s="9">
        <v>0.65656913428219033</v>
      </c>
      <c r="AY55" s="9">
        <v>1.5991304169117646</v>
      </c>
      <c r="AZ55" s="9">
        <v>6.138644049215789</v>
      </c>
      <c r="BA55" s="9">
        <v>9.2513068342063587</v>
      </c>
      <c r="BB55" s="9">
        <v>9.7562149451150511</v>
      </c>
      <c r="BC55" s="9">
        <v>6.3806255874855644</v>
      </c>
      <c r="BD55" s="9">
        <v>6.1802000916211908</v>
      </c>
    </row>
    <row r="56" spans="3:56" x14ac:dyDescent="0.25">
      <c r="C56" s="111">
        <v>34.039099999999998</v>
      </c>
      <c r="F56" s="111">
        <v>6.7039999999999997</v>
      </c>
      <c r="G56" s="112">
        <v>320</v>
      </c>
      <c r="J56" s="111">
        <v>2279.92</v>
      </c>
      <c r="K56" s="111">
        <v>2254.84</v>
      </c>
      <c r="L56" s="91">
        <v>7.633136802034163</v>
      </c>
      <c r="M56" s="12">
        <v>1044.1038523439672</v>
      </c>
      <c r="N56" s="11">
        <v>51.530430929943329</v>
      </c>
      <c r="O56" s="11">
        <v>2152.7820663506491</v>
      </c>
      <c r="P56" s="11">
        <v>50.527502719407657</v>
      </c>
      <c r="Q56" s="11">
        <v>1.1386196918116416</v>
      </c>
      <c r="R56" s="11">
        <v>0.72214421754353386</v>
      </c>
      <c r="S56" s="13">
        <v>18.7916149199106</v>
      </c>
      <c r="T56" s="14">
        <v>1028.1691883613682</v>
      </c>
      <c r="U56" s="91">
        <v>7.6711252479937349</v>
      </c>
      <c r="V56" s="12">
        <v>977.11754791121461</v>
      </c>
      <c r="W56" s="11">
        <v>51.227307577447263</v>
      </c>
      <c r="X56" s="11">
        <v>2153.2406531590736</v>
      </c>
      <c r="Y56" s="11">
        <v>50.372039263479337</v>
      </c>
      <c r="Z56" s="11">
        <v>1.2085967803711006</v>
      </c>
      <c r="AA56" s="11">
        <v>0.76188541406437349</v>
      </c>
      <c r="AB56" s="13">
        <v>18.878366414918705</v>
      </c>
      <c r="AC56" s="14">
        <v>1026.9135665135411</v>
      </c>
      <c r="AD56" s="15">
        <v>4</v>
      </c>
      <c r="AE56" s="9">
        <v>1.3066799238254529</v>
      </c>
      <c r="AF56" s="9">
        <v>6.0122005094535265</v>
      </c>
      <c r="AG56" s="9">
        <v>9.2626090348169967</v>
      </c>
      <c r="AH56" s="9">
        <v>13.977359708131106</v>
      </c>
      <c r="AI56" s="9">
        <v>8.8022014388437988</v>
      </c>
      <c r="AJ56" s="9">
        <v>2.4763995381454134</v>
      </c>
      <c r="AK56" s="9">
        <v>0.67881678304239224</v>
      </c>
      <c r="AL56" s="9">
        <v>1.5901635878313767</v>
      </c>
      <c r="AM56" s="9">
        <v>6.1068234465173683</v>
      </c>
      <c r="AN56" s="9">
        <v>9.1936783456180819</v>
      </c>
      <c r="AO56" s="9">
        <v>9.7033003870253669</v>
      </c>
      <c r="AP56" s="9">
        <v>6.3527547060857188</v>
      </c>
      <c r="AQ56" s="9">
        <v>6.1549999537098596</v>
      </c>
      <c r="AR56" s="9">
        <v>1.280445282109143</v>
      </c>
      <c r="AS56" s="9">
        <v>6.0475342079743406</v>
      </c>
      <c r="AT56" s="9">
        <v>9.3020282854823737</v>
      </c>
      <c r="AU56" s="9">
        <v>14.06743150331485</v>
      </c>
      <c r="AV56" s="9">
        <v>8.8419734090924074</v>
      </c>
      <c r="AW56" s="9">
        <v>2.4671501691771729</v>
      </c>
      <c r="AX56" s="9">
        <v>0.65610725908805512</v>
      </c>
      <c r="AY56" s="9">
        <v>1.5990289726578717</v>
      </c>
      <c r="AZ56" s="9">
        <v>6.1384549529074857</v>
      </c>
      <c r="BA56" s="9">
        <v>9.2515825095788724</v>
      </c>
      <c r="BB56" s="9">
        <v>9.7561228248351348</v>
      </c>
      <c r="BC56" s="9">
        <v>6.3799957495477457</v>
      </c>
      <c r="BD56" s="9">
        <v>6.1796039758583712</v>
      </c>
    </row>
    <row r="57" spans="3:56" x14ac:dyDescent="0.25">
      <c r="C57" s="111">
        <v>34.2239</v>
      </c>
      <c r="F57" s="111">
        <v>5.5410000000000004</v>
      </c>
      <c r="G57" s="112">
        <v>515</v>
      </c>
      <c r="J57" s="111">
        <v>2315.4</v>
      </c>
      <c r="K57" s="111">
        <v>2316.4</v>
      </c>
      <c r="L57" s="91">
        <v>7.5513970328271611</v>
      </c>
      <c r="M57" s="12">
        <v>1255.1876877001966</v>
      </c>
      <c r="N57" s="11">
        <v>64.473521854950093</v>
      </c>
      <c r="O57" s="11">
        <v>2210.1823185521616</v>
      </c>
      <c r="P57" s="11">
        <v>41.744159592888195</v>
      </c>
      <c r="Q57" s="11">
        <v>0.90395016521370553</v>
      </c>
      <c r="R57" s="11">
        <v>0.57397678943792019</v>
      </c>
      <c r="S57" s="13">
        <v>18.923514325367481</v>
      </c>
      <c r="T57" s="14">
        <v>1029.3652951808442</v>
      </c>
      <c r="U57" s="91">
        <v>7.5807457209471005</v>
      </c>
      <c r="V57" s="12">
        <v>1234.030977596037</v>
      </c>
      <c r="W57" s="11">
        <v>64.626097586379686</v>
      </c>
      <c r="X57" s="11">
        <v>2209.6116633208212</v>
      </c>
      <c r="Y57" s="11">
        <v>42.162239092799226</v>
      </c>
      <c r="Z57" s="11">
        <v>1.0106060525281715</v>
      </c>
      <c r="AA57" s="11">
        <v>0.63728931258977695</v>
      </c>
      <c r="AB57" s="13">
        <v>18.88058816486204</v>
      </c>
      <c r="AC57" s="14">
        <v>1027.0600735336855</v>
      </c>
      <c r="AD57" s="15">
        <v>4</v>
      </c>
      <c r="AE57" s="9">
        <v>1.2893272764287085</v>
      </c>
      <c r="AF57" s="9">
        <v>6.0163503267119776</v>
      </c>
      <c r="AG57" s="9">
        <v>9.2752294109433802</v>
      </c>
      <c r="AH57" s="9">
        <v>14.022541128847919</v>
      </c>
      <c r="AI57" s="9">
        <v>8.8061086915337565</v>
      </c>
      <c r="AJ57" s="9">
        <v>2.4610692106478833</v>
      </c>
      <c r="AK57" s="9">
        <v>0.6476642932116824</v>
      </c>
      <c r="AL57" s="9">
        <v>1.5850155561474477</v>
      </c>
      <c r="AM57" s="9">
        <v>6.1103327627132726</v>
      </c>
      <c r="AN57" s="9">
        <v>9.2146041421176275</v>
      </c>
      <c r="AO57" s="9">
        <v>9.7166677155258583</v>
      </c>
      <c r="AP57" s="9">
        <v>6.3331011866205253</v>
      </c>
      <c r="AQ57" s="9">
        <v>6.1358510288322723</v>
      </c>
      <c r="AR57" s="9">
        <v>1.2809181297628383</v>
      </c>
      <c r="AS57" s="9">
        <v>6.0468376993713404</v>
      </c>
      <c r="AT57" s="9">
        <v>9.3001380078721727</v>
      </c>
      <c r="AU57" s="9">
        <v>14.06627966996928</v>
      </c>
      <c r="AV57" s="9">
        <v>8.8409753697972757</v>
      </c>
      <c r="AW57" s="9">
        <v>2.4656756653983893</v>
      </c>
      <c r="AX57" s="9">
        <v>0.65405114162822198</v>
      </c>
      <c r="AY57" s="9">
        <v>1.5985829231839139</v>
      </c>
      <c r="AZ57" s="9">
        <v>6.1376258510379644</v>
      </c>
      <c r="BA57" s="9">
        <v>9.2528370234106738</v>
      </c>
      <c r="BB57" s="9">
        <v>9.7557175983951812</v>
      </c>
      <c r="BC57" s="9">
        <v>6.3772106484521904</v>
      </c>
      <c r="BD57" s="9">
        <v>6.1769653889247014</v>
      </c>
    </row>
    <row r="58" spans="3:56" x14ac:dyDescent="0.25">
      <c r="C58" s="111">
        <v>33.310899999999997</v>
      </c>
      <c r="F58" s="111">
        <v>16.361000000000001</v>
      </c>
      <c r="G58" s="112">
        <v>2</v>
      </c>
      <c r="J58" s="111">
        <v>2228.7800000000002</v>
      </c>
      <c r="K58" s="111">
        <v>2000.85</v>
      </c>
      <c r="L58" s="91">
        <v>8.0667232886213149</v>
      </c>
      <c r="M58" s="12">
        <v>361.58742313897989</v>
      </c>
      <c r="N58" s="11">
        <v>13.126709665923434</v>
      </c>
      <c r="O58" s="11">
        <v>1824.3948602067508</v>
      </c>
      <c r="P58" s="11">
        <v>163.32843012732565</v>
      </c>
      <c r="Q58" s="11">
        <v>3.9393190382527119</v>
      </c>
      <c r="R58" s="11">
        <v>2.5298910418508576</v>
      </c>
      <c r="S58" s="13">
        <v>11.099094638157824</v>
      </c>
      <c r="T58" s="14">
        <v>1024.3762345468949</v>
      </c>
      <c r="U58" s="91">
        <v>8.2469765150115908</v>
      </c>
      <c r="V58" s="12">
        <v>221.09542580213412</v>
      </c>
      <c r="W58" s="11">
        <v>11.641199191059133</v>
      </c>
      <c r="X58" s="11">
        <v>1830.7039942679412</v>
      </c>
      <c r="Y58" s="11">
        <v>158.50480654099951</v>
      </c>
      <c r="Z58" s="11">
        <v>3.8178311179252349</v>
      </c>
      <c r="AA58" s="11">
        <v>2.4032619217682378</v>
      </c>
      <c r="AB58" s="13">
        <v>11.265930160073388</v>
      </c>
      <c r="AC58" s="14">
        <v>1026.3363551520179</v>
      </c>
      <c r="AD58" s="15">
        <v>4</v>
      </c>
      <c r="AE58" s="9">
        <v>1.4400574365761969</v>
      </c>
      <c r="AF58" s="9">
        <v>5.923760328277127</v>
      </c>
      <c r="AG58" s="9">
        <v>9.1147803409177026</v>
      </c>
      <c r="AH58" s="9">
        <v>13.571399127582707</v>
      </c>
      <c r="AI58" s="9">
        <v>8.7004795298937694</v>
      </c>
      <c r="AJ58" s="9">
        <v>2.5703945334086895</v>
      </c>
      <c r="AK58" s="9">
        <v>0.87145842187064637</v>
      </c>
      <c r="AL58" s="9">
        <v>1.6021132692021189</v>
      </c>
      <c r="AM58" s="9">
        <v>6.0313005683781373</v>
      </c>
      <c r="AN58" s="9">
        <v>8.9732029210009419</v>
      </c>
      <c r="AO58" s="9">
        <v>9.5325336710960205</v>
      </c>
      <c r="AP58" s="9">
        <v>6.391654919013118</v>
      </c>
      <c r="AQ58" s="9">
        <v>6.199335581309084</v>
      </c>
      <c r="AR58" s="9">
        <v>1.2785820371880341</v>
      </c>
      <c r="AS58" s="9">
        <v>6.0503561063735374</v>
      </c>
      <c r="AT58" s="9">
        <v>9.3095522076915689</v>
      </c>
      <c r="AU58" s="9">
        <v>14.072035570723203</v>
      </c>
      <c r="AV58" s="9">
        <v>8.8459663077748694</v>
      </c>
      <c r="AW58" s="9">
        <v>2.4729977224473161</v>
      </c>
      <c r="AX58" s="9">
        <v>0.66406606305819982</v>
      </c>
      <c r="AY58" s="9">
        <v>1.6008430444027877</v>
      </c>
      <c r="AZ58" s="9">
        <v>6.1418649410570945</v>
      </c>
      <c r="BA58" s="9">
        <v>9.2471656878618518</v>
      </c>
      <c r="BB58" s="9">
        <v>9.7577680631259742</v>
      </c>
      <c r="BC58" s="9">
        <v>6.391069828834909</v>
      </c>
      <c r="BD58" s="9">
        <v>6.1900542207818967</v>
      </c>
    </row>
    <row r="59" spans="3:56" x14ac:dyDescent="0.25">
      <c r="C59" s="111">
        <v>33.2879</v>
      </c>
      <c r="F59" s="111">
        <v>16.190000000000001</v>
      </c>
      <c r="G59" s="112">
        <v>30</v>
      </c>
      <c r="J59" s="111">
        <v>2228.5300000000002</v>
      </c>
      <c r="K59" s="111">
        <v>2001.25</v>
      </c>
      <c r="L59" s="91">
        <v>8.0673771788569955</v>
      </c>
      <c r="M59" s="12">
        <v>359.86933788869612</v>
      </c>
      <c r="N59" s="11">
        <v>13.132455775454469</v>
      </c>
      <c r="O59" s="11">
        <v>1825.3159436330864</v>
      </c>
      <c r="P59" s="11">
        <v>162.80160059145925</v>
      </c>
      <c r="Q59" s="11">
        <v>3.9083729711214099</v>
      </c>
      <c r="R59" s="11">
        <v>2.5097425855388686</v>
      </c>
      <c r="S59" s="13">
        <v>11.119594855828931</v>
      </c>
      <c r="T59" s="14">
        <v>1024.5216243309017</v>
      </c>
      <c r="U59" s="91">
        <v>8.2459660476010406</v>
      </c>
      <c r="V59" s="12">
        <v>221.71843582563642</v>
      </c>
      <c r="W59" s="11">
        <v>11.675584168298775</v>
      </c>
      <c r="X59" s="11">
        <v>1831.4599294223822</v>
      </c>
      <c r="Y59" s="11">
        <v>158.11448640931894</v>
      </c>
      <c r="Z59" s="11">
        <v>3.808889780621008</v>
      </c>
      <c r="AA59" s="11">
        <v>2.3975180606004427</v>
      </c>
      <c r="AB59" s="13">
        <v>11.283754388661505</v>
      </c>
      <c r="AC59" s="14">
        <v>1026.3181265566111</v>
      </c>
      <c r="AD59" s="15">
        <v>4</v>
      </c>
      <c r="AE59" s="9">
        <v>1.4377988978805878</v>
      </c>
      <c r="AF59" s="9">
        <v>5.9243850785562149</v>
      </c>
      <c r="AG59" s="9">
        <v>9.1170565557551893</v>
      </c>
      <c r="AH59" s="9">
        <v>13.577783469425849</v>
      </c>
      <c r="AI59" s="9">
        <v>8.7013123060502817</v>
      </c>
      <c r="AJ59" s="9">
        <v>2.5686564573195909</v>
      </c>
      <c r="AK59" s="9">
        <v>0.86786029179038593</v>
      </c>
      <c r="AL59" s="9">
        <v>1.601435474293782</v>
      </c>
      <c r="AM59" s="9">
        <v>6.0318294613795791</v>
      </c>
      <c r="AN59" s="9">
        <v>8.9758826073607594</v>
      </c>
      <c r="AO59" s="9">
        <v>9.5343585588284725</v>
      </c>
      <c r="AP59" s="9">
        <v>6.3899328512299922</v>
      </c>
      <c r="AQ59" s="9">
        <v>6.1975660299112212</v>
      </c>
      <c r="AR59" s="9">
        <v>1.278523187101265</v>
      </c>
      <c r="AS59" s="9">
        <v>6.0504472454198783</v>
      </c>
      <c r="AT59" s="9">
        <v>9.3097918070551113</v>
      </c>
      <c r="AU59" s="9">
        <v>14.072182709509649</v>
      </c>
      <c r="AV59" s="9">
        <v>8.8460939983097315</v>
      </c>
      <c r="AW59" s="9">
        <v>2.4731833994354337</v>
      </c>
      <c r="AX59" s="9">
        <v>0.66431384428724183</v>
      </c>
      <c r="AY59" s="9">
        <v>1.6009018281734508</v>
      </c>
      <c r="AZ59" s="9">
        <v>6.1419764109237178</v>
      </c>
      <c r="BA59" s="9">
        <v>9.2470400588092598</v>
      </c>
      <c r="BB59" s="9">
        <v>9.757821304760105</v>
      </c>
      <c r="BC59" s="9">
        <v>6.3914222641718332</v>
      </c>
      <c r="BD59" s="9">
        <v>6.1903857460964566</v>
      </c>
    </row>
    <row r="60" spans="3:56" x14ac:dyDescent="0.25">
      <c r="C60" s="111">
        <v>33.382800000000003</v>
      </c>
      <c r="F60" s="111">
        <v>15.638</v>
      </c>
      <c r="G60" s="112">
        <v>50</v>
      </c>
      <c r="J60" s="111">
        <v>2231.3200000000002</v>
      </c>
      <c r="K60" s="111">
        <v>2022.91</v>
      </c>
      <c r="L60" s="91">
        <v>8.0340644708133127</v>
      </c>
      <c r="M60" s="12">
        <v>393.08767415950882</v>
      </c>
      <c r="N60" s="11">
        <v>14.575326038117201</v>
      </c>
      <c r="O60" s="11">
        <v>1857.5704693438645</v>
      </c>
      <c r="P60" s="11">
        <v>150.7642046180184</v>
      </c>
      <c r="Q60" s="11">
        <v>3.6033304234311343</v>
      </c>
      <c r="R60" s="11">
        <v>2.3120031609753493</v>
      </c>
      <c r="S60" s="13">
        <v>11.651834079760469</v>
      </c>
      <c r="T60" s="14">
        <v>1024.8077616696667</v>
      </c>
      <c r="U60" s="91">
        <v>8.2041193051903409</v>
      </c>
      <c r="V60" s="12">
        <v>248.32912959141029</v>
      </c>
      <c r="W60" s="11">
        <v>13.069580817949664</v>
      </c>
      <c r="X60" s="11">
        <v>1863.4123605958482</v>
      </c>
      <c r="Y60" s="11">
        <v>146.42805858620233</v>
      </c>
      <c r="Z60" s="11">
        <v>3.5256102962910849</v>
      </c>
      <c r="AA60" s="11">
        <v>2.219645345342554</v>
      </c>
      <c r="AB60" s="13">
        <v>11.832025053733988</v>
      </c>
      <c r="AC60" s="14">
        <v>1026.3933402939504</v>
      </c>
      <c r="AD60" s="15">
        <v>4</v>
      </c>
      <c r="AE60" s="9">
        <v>1.4308711477413085</v>
      </c>
      <c r="AF60" s="9">
        <v>5.9287374508959045</v>
      </c>
      <c r="AG60" s="9">
        <v>9.1247115282266495</v>
      </c>
      <c r="AH60" s="9">
        <v>13.599585985829147</v>
      </c>
      <c r="AI60" s="9">
        <v>8.7065329377525185</v>
      </c>
      <c r="AJ60" s="9">
        <v>2.5629617449507878</v>
      </c>
      <c r="AK60" s="9">
        <v>0.85696118011610245</v>
      </c>
      <c r="AL60" s="9">
        <v>1.6003325859360411</v>
      </c>
      <c r="AM60" s="9">
        <v>6.0352799698718753</v>
      </c>
      <c r="AN60" s="9">
        <v>8.9881114718364863</v>
      </c>
      <c r="AO60" s="9">
        <v>9.5433719937703483</v>
      </c>
      <c r="AP60" s="9">
        <v>6.3867650056236691</v>
      </c>
      <c r="AQ60" s="9">
        <v>6.1940493406255133</v>
      </c>
      <c r="AR60" s="9">
        <v>1.278766007676674</v>
      </c>
      <c r="AS60" s="9">
        <v>6.050071991848001</v>
      </c>
      <c r="AT60" s="9">
        <v>9.3088039728349425</v>
      </c>
      <c r="AU60" s="9">
        <v>14.071576288238042</v>
      </c>
      <c r="AV60" s="9">
        <v>8.8455677620477964</v>
      </c>
      <c r="AW60" s="9">
        <v>2.4724176724510363</v>
      </c>
      <c r="AX60" s="9">
        <v>0.66329009323149324</v>
      </c>
      <c r="AY60" s="9">
        <v>1.6006598741581137</v>
      </c>
      <c r="AZ60" s="9">
        <v>6.1415179785568403</v>
      </c>
      <c r="BA60" s="9">
        <v>9.247563948544375</v>
      </c>
      <c r="BB60" s="9">
        <v>9.7576021346328687</v>
      </c>
      <c r="BC60" s="9">
        <v>6.3899691594650641</v>
      </c>
      <c r="BD60" s="9">
        <v>6.1890184421109611</v>
      </c>
    </row>
    <row r="61" spans="3:56" x14ac:dyDescent="0.25">
      <c r="C61" s="111">
        <v>33.4039</v>
      </c>
      <c r="F61" s="111">
        <v>10.987</v>
      </c>
      <c r="G61" s="112">
        <v>100</v>
      </c>
      <c r="J61" s="111">
        <v>2222.98</v>
      </c>
      <c r="K61" s="111">
        <v>2100.83</v>
      </c>
      <c r="L61" s="91">
        <v>7.8939698966983132</v>
      </c>
      <c r="M61" s="12">
        <v>557.30278352788719</v>
      </c>
      <c r="N61" s="11">
        <v>23.893663160649247</v>
      </c>
      <c r="O61" s="11">
        <v>1979.4809271484817</v>
      </c>
      <c r="P61" s="11">
        <v>97.455409690868734</v>
      </c>
      <c r="Q61" s="11">
        <v>2.3018274662965559</v>
      </c>
      <c r="R61" s="11">
        <v>1.4641639596561353</v>
      </c>
      <c r="S61" s="13">
        <v>14.907510732795846</v>
      </c>
      <c r="T61" s="14">
        <v>1025.9867438914976</v>
      </c>
      <c r="U61" s="91">
        <v>7.9908585527676275</v>
      </c>
      <c r="V61" s="12">
        <v>431.72816237215284</v>
      </c>
      <c r="W61" s="11">
        <v>22.719061288232975</v>
      </c>
      <c r="X61" s="11">
        <v>1982.7140897880433</v>
      </c>
      <c r="Y61" s="11">
        <v>95.396848923723411</v>
      </c>
      <c r="Z61" s="11">
        <v>2.2966549276464305</v>
      </c>
      <c r="AA61" s="11">
        <v>1.4459854939319314</v>
      </c>
      <c r="AB61" s="13">
        <v>15.123880287431094</v>
      </c>
      <c r="AC61" s="14">
        <v>1026.4100636114777</v>
      </c>
      <c r="AD61" s="15">
        <v>4</v>
      </c>
      <c r="AE61" s="9">
        <v>1.3678084752449853</v>
      </c>
      <c r="AF61" s="9">
        <v>5.9757013121006324</v>
      </c>
      <c r="AG61" s="9">
        <v>9.201715266711215</v>
      </c>
      <c r="AH61" s="9">
        <v>13.797611150385768</v>
      </c>
      <c r="AI61" s="9">
        <v>8.7619343601007618</v>
      </c>
      <c r="AJ61" s="9">
        <v>2.5227301305209027</v>
      </c>
      <c r="AK61" s="9">
        <v>0.77275861649557032</v>
      </c>
      <c r="AL61" s="9">
        <v>1.5972564521413861</v>
      </c>
      <c r="AM61" s="9">
        <v>6.0756801782975645</v>
      </c>
      <c r="AN61" s="9">
        <v>9.0959520874875039</v>
      </c>
      <c r="AO61" s="9">
        <v>9.6298401099744435</v>
      </c>
      <c r="AP61" s="9">
        <v>6.3813515600124813</v>
      </c>
      <c r="AQ61" s="9">
        <v>6.1848685045899847</v>
      </c>
      <c r="AR61" s="9">
        <v>1.2788199962345368</v>
      </c>
      <c r="AS61" s="9">
        <v>6.049988843057168</v>
      </c>
      <c r="AT61" s="9">
        <v>9.3085846159460015</v>
      </c>
      <c r="AU61" s="9">
        <v>14.071441702743382</v>
      </c>
      <c r="AV61" s="9">
        <v>8.8454509834049819</v>
      </c>
      <c r="AW61" s="9">
        <v>2.4722475618052928</v>
      </c>
      <c r="AX61" s="9">
        <v>0.66306197478967011</v>
      </c>
      <c r="AY61" s="9">
        <v>1.6006062906665646</v>
      </c>
      <c r="AZ61" s="9">
        <v>6.1414165890557877</v>
      </c>
      <c r="BA61" s="9">
        <v>9.2476824119311356</v>
      </c>
      <c r="BB61" s="9">
        <v>9.7575535869960675</v>
      </c>
      <c r="BC61" s="9">
        <v>6.3896464613357313</v>
      </c>
      <c r="BD61" s="9">
        <v>6.1887146501313328</v>
      </c>
    </row>
    <row r="62" spans="3:56" x14ac:dyDescent="0.25">
      <c r="C62" s="111">
        <v>33.857599999999998</v>
      </c>
      <c r="F62" s="111">
        <v>9.7149999999999999</v>
      </c>
      <c r="G62" s="112">
        <v>170</v>
      </c>
      <c r="J62" s="111">
        <v>2249.46</v>
      </c>
      <c r="K62" s="111">
        <v>2185.12</v>
      </c>
      <c r="L62" s="91">
        <v>7.7291644170185831</v>
      </c>
      <c r="M62" s="12">
        <v>840.73669769191838</v>
      </c>
      <c r="N62" s="11">
        <v>37.486607228561518</v>
      </c>
      <c r="O62" s="11">
        <v>2079.9555786843343</v>
      </c>
      <c r="P62" s="11">
        <v>67.677814087103613</v>
      </c>
      <c r="Q62" s="11">
        <v>1.5729997820574824</v>
      </c>
      <c r="R62" s="11">
        <v>1.0000851995314868</v>
      </c>
      <c r="S62" s="13">
        <v>17.486414557813852</v>
      </c>
      <c r="T62" s="14">
        <v>1026.8781513591207</v>
      </c>
      <c r="U62" s="91">
        <v>7.8065964722062224</v>
      </c>
      <c r="V62" s="12">
        <v>692.15138114457534</v>
      </c>
      <c r="W62" s="11">
        <v>36.326220240440719</v>
      </c>
      <c r="X62" s="11">
        <v>2082.5271615962724</v>
      </c>
      <c r="Y62" s="11">
        <v>66.266618163286239</v>
      </c>
      <c r="Z62" s="11">
        <v>1.591512101910473</v>
      </c>
      <c r="AA62" s="11">
        <v>1.0029276846788131</v>
      </c>
      <c r="AB62" s="13">
        <v>17.778071396028857</v>
      </c>
      <c r="AC62" s="14">
        <v>1026.7696853569114</v>
      </c>
      <c r="AD62" s="15">
        <v>4</v>
      </c>
      <c r="AE62" s="9">
        <v>1.3507838687002953</v>
      </c>
      <c r="AF62" s="9">
        <v>5.9849864929668719</v>
      </c>
      <c r="AG62" s="9">
        <v>9.2167721538525704</v>
      </c>
      <c r="AH62" s="9">
        <v>13.848261522200435</v>
      </c>
      <c r="AI62" s="9">
        <v>8.7720199545257902</v>
      </c>
      <c r="AJ62" s="9">
        <v>2.5068721660210738</v>
      </c>
      <c r="AK62" s="9">
        <v>0.74273652491609088</v>
      </c>
      <c r="AL62" s="9">
        <v>1.5941361942999359</v>
      </c>
      <c r="AM62" s="9">
        <v>6.0830014565823145</v>
      </c>
      <c r="AN62" s="9">
        <v>9.1256442550793153</v>
      </c>
      <c r="AO62" s="9">
        <v>9.6503941614242326</v>
      </c>
      <c r="AP62" s="9">
        <v>6.3685080880551208</v>
      </c>
      <c r="AQ62" s="9">
        <v>6.1718164257144803</v>
      </c>
      <c r="AR62" s="9">
        <v>1.2799808781635496</v>
      </c>
      <c r="AS62" s="9">
        <v>6.0482260094327653</v>
      </c>
      <c r="AT62" s="9">
        <v>9.3038923391939452</v>
      </c>
      <c r="AU62" s="9">
        <v>14.06856924492581</v>
      </c>
      <c r="AV62" s="9">
        <v>8.8429596126555179</v>
      </c>
      <c r="AW62" s="9">
        <v>2.4686020417104979</v>
      </c>
      <c r="AX62" s="9">
        <v>0.65811204678269086</v>
      </c>
      <c r="AY62" s="9">
        <v>1.5994726537467532</v>
      </c>
      <c r="AZ62" s="9">
        <v>6.1392834269268892</v>
      </c>
      <c r="BA62" s="9">
        <v>9.250402627717472</v>
      </c>
      <c r="BB62" s="9">
        <v>9.7565256201550312</v>
      </c>
      <c r="BC62" s="9">
        <v>6.382740886562706</v>
      </c>
      <c r="BD62" s="9">
        <v>6.1822005608868249</v>
      </c>
    </row>
    <row r="63" spans="3:56" x14ac:dyDescent="0.25">
      <c r="C63" s="111">
        <v>34.084099999999999</v>
      </c>
      <c r="F63" s="111">
        <v>9.1509999999999998</v>
      </c>
      <c r="G63" s="112">
        <v>231</v>
      </c>
      <c r="J63" s="111">
        <v>2267.12</v>
      </c>
      <c r="K63" s="111">
        <v>2230.94</v>
      </c>
      <c r="L63" s="91">
        <v>7.6389593802260354</v>
      </c>
      <c r="M63" s="12">
        <v>1046.9527610618982</v>
      </c>
      <c r="N63" s="11">
        <v>47.506205998887417</v>
      </c>
      <c r="O63" s="11">
        <v>2127.900156190798</v>
      </c>
      <c r="P63" s="11">
        <v>55.533637810314431</v>
      </c>
      <c r="Q63" s="11">
        <v>1.2741543462767935</v>
      </c>
      <c r="R63" s="11">
        <v>0.81026353384014305</v>
      </c>
      <c r="S63" s="13">
        <v>18.365535954402453</v>
      </c>
      <c r="T63" s="14">
        <v>1027.4251897902734</v>
      </c>
      <c r="U63" s="91">
        <v>7.7089414872348021</v>
      </c>
      <c r="V63" s="12">
        <v>885.89036640199333</v>
      </c>
      <c r="W63" s="11">
        <v>46.432231430356161</v>
      </c>
      <c r="X63" s="11">
        <v>2130.0861593311915</v>
      </c>
      <c r="Y63" s="11">
        <v>54.421609238451985</v>
      </c>
      <c r="Z63" s="11">
        <v>1.3054430594406046</v>
      </c>
      <c r="AA63" s="11">
        <v>0.8230046284498258</v>
      </c>
      <c r="AB63" s="13">
        <v>18.662637238157622</v>
      </c>
      <c r="AC63" s="14">
        <v>1026.949241007221</v>
      </c>
      <c r="AD63" s="15">
        <v>4</v>
      </c>
      <c r="AE63" s="9">
        <v>1.3431767389504778</v>
      </c>
      <c r="AF63" s="9">
        <v>5.9877584814052618</v>
      </c>
      <c r="AG63" s="9">
        <v>9.2223545031868976</v>
      </c>
      <c r="AH63" s="9">
        <v>13.869739013405724</v>
      </c>
      <c r="AI63" s="9">
        <v>8.7748468932924979</v>
      </c>
      <c r="AJ63" s="9">
        <v>2.4990673997797077</v>
      </c>
      <c r="AK63" s="9">
        <v>0.72796585350895682</v>
      </c>
      <c r="AL63" s="9">
        <v>1.5920101416079144</v>
      </c>
      <c r="AM63" s="9">
        <v>6.0850756216993842</v>
      </c>
      <c r="AN63" s="9">
        <v>9.1378299968995726</v>
      </c>
      <c r="AO63" s="9">
        <v>9.6580092878876052</v>
      </c>
      <c r="AP63" s="9">
        <v>6.3599960041983783</v>
      </c>
      <c r="AQ63" s="9">
        <v>6.1634002579983678</v>
      </c>
      <c r="AR63" s="9">
        <v>1.2805604235832571</v>
      </c>
      <c r="AS63" s="9">
        <v>6.0473638721701359</v>
      </c>
      <c r="AT63" s="9">
        <v>9.3015672780461696</v>
      </c>
      <c r="AU63" s="9">
        <v>14.067150413593296</v>
      </c>
      <c r="AV63" s="9">
        <v>8.8417298146689198</v>
      </c>
      <c r="AW63" s="9">
        <v>2.4667907691098319</v>
      </c>
      <c r="AX63" s="9">
        <v>0.65560797504084245</v>
      </c>
      <c r="AY63" s="9">
        <v>1.59891982887907</v>
      </c>
      <c r="AZ63" s="9">
        <v>6.1382517241276524</v>
      </c>
      <c r="BA63" s="9">
        <v>9.2518830660119384</v>
      </c>
      <c r="BB63" s="9">
        <v>9.7560236964380991</v>
      </c>
      <c r="BC63" s="9">
        <v>6.379316641640659</v>
      </c>
      <c r="BD63" s="9">
        <v>6.1789609856637897</v>
      </c>
    </row>
    <row r="64" spans="3:56" x14ac:dyDescent="0.25">
      <c r="C64" s="111">
        <v>34.199100000000001</v>
      </c>
      <c r="F64" s="111">
        <v>8.1430000000000007</v>
      </c>
      <c r="G64" s="112">
        <v>321</v>
      </c>
      <c r="J64" s="111">
        <v>2286.4899999999998</v>
      </c>
      <c r="K64" s="111">
        <v>2278.12</v>
      </c>
      <c r="L64" s="91">
        <v>7.5541913760838826</v>
      </c>
      <c r="M64" s="12">
        <v>1277.3314649279228</v>
      </c>
      <c r="N64" s="11">
        <v>59.929690459157115</v>
      </c>
      <c r="O64" s="11">
        <v>2172.9718625925339</v>
      </c>
      <c r="P64" s="11">
        <v>45.218446948308717</v>
      </c>
      <c r="Q64" s="11">
        <v>1.0187991806153016</v>
      </c>
      <c r="R64" s="11">
        <v>0.64768841423535461</v>
      </c>
      <c r="S64" s="13">
        <v>18.70856529412589</v>
      </c>
      <c r="T64" s="14">
        <v>1028.0851081917797</v>
      </c>
      <c r="U64" s="91">
        <v>7.6121533200513465</v>
      </c>
      <c r="V64" s="12">
        <v>1129.7078353573745</v>
      </c>
      <c r="W64" s="11">
        <v>59.171348506922328</v>
      </c>
      <c r="X64" s="11">
        <v>2174.3731573723007</v>
      </c>
      <c r="Y64" s="11">
        <v>44.575494120776668</v>
      </c>
      <c r="Z64" s="11">
        <v>1.0685940570916868</v>
      </c>
      <c r="AA64" s="11">
        <v>0.67382653744496868</v>
      </c>
      <c r="AB64" s="13">
        <v>18.924869179732202</v>
      </c>
      <c r="AC64" s="14">
        <v>1027.0404118392419</v>
      </c>
      <c r="AD64" s="15">
        <v>4</v>
      </c>
      <c r="AE64" s="9">
        <v>1.3286615758845082</v>
      </c>
      <c r="AF64" s="9">
        <v>5.9947793078675655</v>
      </c>
      <c r="AG64" s="9">
        <v>9.235929836652808</v>
      </c>
      <c r="AH64" s="9">
        <v>13.911030541719962</v>
      </c>
      <c r="AI64" s="9">
        <v>8.7825260668035146</v>
      </c>
      <c r="AJ64" s="9">
        <v>2.4877383886497331</v>
      </c>
      <c r="AK64" s="9">
        <v>0.70478082634484107</v>
      </c>
      <c r="AL64" s="9">
        <v>1.5895126937858488</v>
      </c>
      <c r="AM64" s="9">
        <v>6.0911107380679539</v>
      </c>
      <c r="AN64" s="9">
        <v>9.1590668202099721</v>
      </c>
      <c r="AO64" s="9">
        <v>9.673411754338904</v>
      </c>
      <c r="AP64" s="9">
        <v>6.3506401862250108</v>
      </c>
      <c r="AQ64" s="9">
        <v>6.153917727742372</v>
      </c>
      <c r="AR64" s="9">
        <v>1.2808546740171041</v>
      </c>
      <c r="AS64" s="9">
        <v>6.0469307088949433</v>
      </c>
      <c r="AT64" s="9">
        <v>9.3003912320669784</v>
      </c>
      <c r="AU64" s="9">
        <v>14.066433860383768</v>
      </c>
      <c r="AV64" s="9">
        <v>8.8411089495466442</v>
      </c>
      <c r="AW64" s="9">
        <v>2.4658733228976177</v>
      </c>
      <c r="AX64" s="9">
        <v>0.65432795355263351</v>
      </c>
      <c r="AY64" s="9">
        <v>1.5986424502692311</v>
      </c>
      <c r="AZ64" s="9">
        <v>6.1377362738504999</v>
      </c>
      <c r="BA64" s="9">
        <v>9.2526655670389406</v>
      </c>
      <c r="BB64" s="9">
        <v>9.7557716941197903</v>
      </c>
      <c r="BC64" s="9">
        <v>6.3775838299250331</v>
      </c>
      <c r="BD64" s="9">
        <v>6.1773191862568249</v>
      </c>
    </row>
    <row r="65" spans="3:56" x14ac:dyDescent="0.25">
      <c r="C65" s="111">
        <v>34.2485</v>
      </c>
      <c r="F65" s="111">
        <v>6.62</v>
      </c>
      <c r="G65" s="112">
        <v>515</v>
      </c>
      <c r="J65" s="111">
        <v>2342.91</v>
      </c>
      <c r="K65" s="111">
        <v>2354.1799999999998</v>
      </c>
      <c r="L65" s="91">
        <v>7.5027983370507592</v>
      </c>
      <c r="M65" s="12">
        <v>1437.2575929356526</v>
      </c>
      <c r="N65" s="11">
        <v>71.055632200105308</v>
      </c>
      <c r="O65" s="11">
        <v>2243.5319253301768</v>
      </c>
      <c r="P65" s="11">
        <v>39.592442469717611</v>
      </c>
      <c r="Q65" s="11">
        <v>0.85822785791068246</v>
      </c>
      <c r="R65" s="11">
        <v>0.54573483374868548</v>
      </c>
      <c r="S65" s="13">
        <v>18.686148517177145</v>
      </c>
      <c r="T65" s="14">
        <v>1029.2348319391581</v>
      </c>
      <c r="U65" s="91">
        <v>7.5471787732042088</v>
      </c>
      <c r="V65" s="12">
        <v>1353.6393871826317</v>
      </c>
      <c r="W65" s="11">
        <v>70.879706228555349</v>
      </c>
      <c r="X65" s="11">
        <v>2243.6499542343477</v>
      </c>
      <c r="Y65" s="11">
        <v>39.650339537096507</v>
      </c>
      <c r="Z65" s="11">
        <v>0.95027039487794596</v>
      </c>
      <c r="AA65" s="11">
        <v>0.59926799278863929</v>
      </c>
      <c r="AB65" s="13">
        <v>18.735212627140275</v>
      </c>
      <c r="AC65" s="14">
        <v>1027.0795768438768</v>
      </c>
      <c r="AD65" s="15">
        <v>4</v>
      </c>
      <c r="AE65" s="9">
        <v>1.3059361038430084</v>
      </c>
      <c r="AF65" s="9">
        <v>6.0034645909819524</v>
      </c>
      <c r="AG65" s="9">
        <v>9.2561182966130922</v>
      </c>
      <c r="AH65" s="9">
        <v>13.972891408058075</v>
      </c>
      <c r="AI65" s="9">
        <v>8.7918276282495533</v>
      </c>
      <c r="AJ65" s="9">
        <v>2.4704441645827759</v>
      </c>
      <c r="AK65" s="9">
        <v>0.66856324387478339</v>
      </c>
      <c r="AL65" s="9">
        <v>1.5846994365945057</v>
      </c>
      <c r="AM65" s="9">
        <v>6.0987784257514424</v>
      </c>
      <c r="AN65" s="9">
        <v>9.1879262640350152</v>
      </c>
      <c r="AO65" s="9">
        <v>9.6942340824293805</v>
      </c>
      <c r="AP65" s="9">
        <v>6.3332306765032476</v>
      </c>
      <c r="AQ65" s="9">
        <v>6.1366097442448817</v>
      </c>
      <c r="AR65" s="9">
        <v>1.2809810737686873</v>
      </c>
      <c r="AS65" s="9">
        <v>6.0467455811996516</v>
      </c>
      <c r="AT65" s="9">
        <v>9.2998869634373627</v>
      </c>
      <c r="AU65" s="9">
        <v>14.066126840460127</v>
      </c>
      <c r="AV65" s="9">
        <v>8.8408429762202374</v>
      </c>
      <c r="AW65" s="9">
        <v>2.4654796689610068</v>
      </c>
      <c r="AX65" s="9">
        <v>0.65377628973543433</v>
      </c>
      <c r="AY65" s="9">
        <v>1.5985239776352498</v>
      </c>
      <c r="AZ65" s="9">
        <v>6.1375165757956589</v>
      </c>
      <c r="BA65" s="9">
        <v>9.2530080440901337</v>
      </c>
      <c r="BB65" s="9">
        <v>9.7556640260316989</v>
      </c>
      <c r="BC65" s="9">
        <v>6.3768406519258125</v>
      </c>
      <c r="BD65" s="9">
        <v>6.1766145350671433</v>
      </c>
    </row>
    <row r="66" spans="3:56" x14ac:dyDescent="0.25">
      <c r="C66" s="111">
        <v>34.249099999999999</v>
      </c>
      <c r="F66" s="111">
        <v>6.6109999999999998</v>
      </c>
      <c r="G66" s="112">
        <v>535</v>
      </c>
      <c r="J66" s="111">
        <v>2352.91</v>
      </c>
      <c r="K66" s="111">
        <v>2362.81</v>
      </c>
      <c r="L66" s="91">
        <v>7.5070490358089783</v>
      </c>
      <c r="M66" s="12">
        <v>1425.6005606176066</v>
      </c>
      <c r="N66" s="11">
        <v>70.501280840647226</v>
      </c>
      <c r="O66" s="11">
        <v>2252.1323839302299</v>
      </c>
      <c r="P66" s="11">
        <v>40.176335229122621</v>
      </c>
      <c r="Q66" s="11">
        <v>0.86752752086028939</v>
      </c>
      <c r="R66" s="11">
        <v>0.55177504190631177</v>
      </c>
      <c r="S66" s="13">
        <v>18.733196613738475</v>
      </c>
      <c r="T66" s="14">
        <v>1029.3276012900719</v>
      </c>
      <c r="U66" s="91">
        <v>7.5521512180816659</v>
      </c>
      <c r="V66" s="12">
        <v>1343.3326070124756</v>
      </c>
      <c r="W66" s="11">
        <v>70.339770600528752</v>
      </c>
      <c r="X66" s="11">
        <v>2252.2097255661356</v>
      </c>
      <c r="Y66" s="11">
        <v>40.260503833335541</v>
      </c>
      <c r="Z66" s="11">
        <v>0.96489061072608795</v>
      </c>
      <c r="AA66" s="11">
        <v>0.60848857639784204</v>
      </c>
      <c r="AB66" s="13">
        <v>18.778310346508682</v>
      </c>
      <c r="AC66" s="14">
        <v>1027.0800525365828</v>
      </c>
      <c r="AD66" s="15">
        <v>4</v>
      </c>
      <c r="AE66" s="9">
        <v>1.3058008503179763</v>
      </c>
      <c r="AF66" s="9">
        <v>6.0026521275188731</v>
      </c>
      <c r="AG66" s="9">
        <v>9.2556726321471601</v>
      </c>
      <c r="AH66" s="9">
        <v>13.972585192334664</v>
      </c>
      <c r="AI66" s="9">
        <v>8.7908823395959512</v>
      </c>
      <c r="AJ66" s="9">
        <v>2.4699978747008289</v>
      </c>
      <c r="AK66" s="9">
        <v>0.66772783420645199</v>
      </c>
      <c r="AL66" s="9">
        <v>1.5841918162855999</v>
      </c>
      <c r="AM66" s="9">
        <v>6.0980547352942081</v>
      </c>
      <c r="AN66" s="9">
        <v>9.1872131194793081</v>
      </c>
      <c r="AO66" s="9">
        <v>9.6933587586188974</v>
      </c>
      <c r="AP66" s="9">
        <v>6.3315456967885337</v>
      </c>
      <c r="AQ66" s="9">
        <v>6.1350244882587681</v>
      </c>
      <c r="AR66" s="9">
        <v>1.280982608988342</v>
      </c>
      <c r="AS66" s="9">
        <v>6.0467433361726863</v>
      </c>
      <c r="AT66" s="9">
        <v>9.299880842114721</v>
      </c>
      <c r="AU66" s="9">
        <v>14.066123114371171</v>
      </c>
      <c r="AV66" s="9">
        <v>8.8408397484631625</v>
      </c>
      <c r="AW66" s="9">
        <v>2.4654748893936929</v>
      </c>
      <c r="AX66" s="9">
        <v>0.65376958263664631</v>
      </c>
      <c r="AY66" s="9">
        <v>1.5985225412006261</v>
      </c>
      <c r="AZ66" s="9">
        <v>6.1375139137418939</v>
      </c>
      <c r="BA66" s="9">
        <v>9.2530122271004291</v>
      </c>
      <c r="BB66" s="9">
        <v>9.7556627204716388</v>
      </c>
      <c r="BC66" s="9">
        <v>6.3768316297993044</v>
      </c>
      <c r="BD66" s="9">
        <v>6.1766059787755028</v>
      </c>
    </row>
    <row r="67" spans="3:56" x14ac:dyDescent="0.25">
      <c r="C67" s="111">
        <v>33.357700000000001</v>
      </c>
      <c r="F67" s="111">
        <v>16.763999999999999</v>
      </c>
      <c r="G67" s="112">
        <v>2</v>
      </c>
      <c r="J67" s="111">
        <v>2233.16</v>
      </c>
      <c r="K67" s="111">
        <v>2003.48</v>
      </c>
      <c r="L67" s="91">
        <v>8.0628340437638357</v>
      </c>
      <c r="M67" s="12">
        <v>365.9892545296824</v>
      </c>
      <c r="N67" s="11">
        <v>13.126007771939582</v>
      </c>
      <c r="O67" s="11">
        <v>1825.6598899405383</v>
      </c>
      <c r="P67" s="11">
        <v>164.69410228752193</v>
      </c>
      <c r="Q67" s="11">
        <v>3.9723172255313584</v>
      </c>
      <c r="R67" s="11">
        <v>2.553686428968188</v>
      </c>
      <c r="S67" s="13">
        <v>11.058773896795918</v>
      </c>
      <c r="T67" s="14">
        <v>1024.3190762687868</v>
      </c>
      <c r="U67" s="91">
        <v>8.2493584001375826</v>
      </c>
      <c r="V67" s="12">
        <v>220.03407395094274</v>
      </c>
      <c r="W67" s="11">
        <v>11.582122540389943</v>
      </c>
      <c r="X67" s="11">
        <v>1832.211131171674</v>
      </c>
      <c r="Y67" s="11">
        <v>159.68674628793576</v>
      </c>
      <c r="Z67" s="11">
        <v>3.8453534640301137</v>
      </c>
      <c r="AA67" s="11">
        <v>2.4208226701920128</v>
      </c>
      <c r="AB67" s="13">
        <v>11.230906529112318</v>
      </c>
      <c r="AC67" s="14">
        <v>1026.3734468440261</v>
      </c>
      <c r="AD67" s="15">
        <v>4</v>
      </c>
      <c r="AE67" s="9">
        <v>1.4453356775972341</v>
      </c>
      <c r="AF67" s="9">
        <v>5.9195468266912341</v>
      </c>
      <c r="AG67" s="9">
        <v>9.1075758705853431</v>
      </c>
      <c r="AH67" s="9">
        <v>13.554236976514503</v>
      </c>
      <c r="AI67" s="9">
        <v>8.6952891491290867</v>
      </c>
      <c r="AJ67" s="9">
        <v>2.5733328431266318</v>
      </c>
      <c r="AK67" s="9">
        <v>0.87793293937276307</v>
      </c>
      <c r="AL67" s="9">
        <v>1.6022388347032168</v>
      </c>
      <c r="AM67" s="9">
        <v>6.0276213337807683</v>
      </c>
      <c r="AN67" s="9">
        <v>8.964011710152926</v>
      </c>
      <c r="AO67" s="9">
        <v>9.5249974077138546</v>
      </c>
      <c r="AP67" s="9">
        <v>6.3910516961862465</v>
      </c>
      <c r="AQ67" s="9">
        <v>6.1991753411503625</v>
      </c>
      <c r="AR67" s="9">
        <v>1.2787017843211126</v>
      </c>
      <c r="AS67" s="9">
        <v>6.050171038384077</v>
      </c>
      <c r="AT67" s="9">
        <v>9.3090650454306676</v>
      </c>
      <c r="AU67" s="9">
        <v>14.071736503898292</v>
      </c>
      <c r="AV67" s="9">
        <v>8.8457067850530446</v>
      </c>
      <c r="AW67" s="9">
        <v>2.47262009808192</v>
      </c>
      <c r="AX67" s="9">
        <v>0.66356122012035279</v>
      </c>
      <c r="AY67" s="9">
        <v>1.6007237161808712</v>
      </c>
      <c r="AZ67" s="9">
        <v>6.141638843457903</v>
      </c>
      <c r="BA67" s="9">
        <v>9.2474239657407118</v>
      </c>
      <c r="BB67" s="9">
        <v>9.7576599719833936</v>
      </c>
      <c r="BC67" s="9">
        <v>6.3903532141951631</v>
      </c>
      <c r="BD67" s="9">
        <v>6.1893799256915099</v>
      </c>
    </row>
    <row r="68" spans="3:56" x14ac:dyDescent="0.25">
      <c r="C68" s="111">
        <v>33.362499999999997</v>
      </c>
      <c r="F68" s="111">
        <v>16.283000000000001</v>
      </c>
      <c r="G68" s="112">
        <v>30</v>
      </c>
      <c r="J68" s="111">
        <v>2230.5</v>
      </c>
      <c r="K68" s="111">
        <v>2006.6</v>
      </c>
      <c r="L68" s="91">
        <v>8.0577588149578734</v>
      </c>
      <c r="M68" s="12">
        <v>369.49163545814343</v>
      </c>
      <c r="N68" s="11">
        <v>13.440855897154156</v>
      </c>
      <c r="O68" s="11">
        <v>1832.4421637046046</v>
      </c>
      <c r="P68" s="11">
        <v>160.71698039824108</v>
      </c>
      <c r="Q68" s="11">
        <v>3.8567176136405865</v>
      </c>
      <c r="R68" s="11">
        <v>2.4774761421423106</v>
      </c>
      <c r="S68" s="13">
        <v>11.209486188736483</v>
      </c>
      <c r="T68" s="14">
        <v>1024.5576814994952</v>
      </c>
      <c r="U68" s="91">
        <v>8.237638886020461</v>
      </c>
      <c r="V68" s="12">
        <v>226.84467317498081</v>
      </c>
      <c r="W68" s="11">
        <v>11.940280228043106</v>
      </c>
      <c r="X68" s="11">
        <v>1838.6595404972327</v>
      </c>
      <c r="Y68" s="11">
        <v>156.00017927472399</v>
      </c>
      <c r="Z68" s="11">
        <v>3.7564837969326557</v>
      </c>
      <c r="AA68" s="11">
        <v>2.3648987656254548</v>
      </c>
      <c r="AB68" s="13">
        <v>11.379930730268711</v>
      </c>
      <c r="AC68" s="14">
        <v>1026.3772511552734</v>
      </c>
      <c r="AD68" s="15">
        <v>4</v>
      </c>
      <c r="AE68" s="9">
        <v>1.4391776863588945</v>
      </c>
      <c r="AF68" s="9">
        <v>5.9231554637462169</v>
      </c>
      <c r="AG68" s="9">
        <v>9.1147273269518312</v>
      </c>
      <c r="AH68" s="9">
        <v>13.573344605461514</v>
      </c>
      <c r="AI68" s="9">
        <v>8.6997446879512257</v>
      </c>
      <c r="AJ68" s="9">
        <v>2.5688213586316193</v>
      </c>
      <c r="AK68" s="9">
        <v>0.86882646387789597</v>
      </c>
      <c r="AL68" s="9">
        <v>1.6012615519349431</v>
      </c>
      <c r="AM68" s="9">
        <v>6.0306145109438454</v>
      </c>
      <c r="AN68" s="9">
        <v>8.9739413143662468</v>
      </c>
      <c r="AO68" s="9">
        <v>9.5324572867324733</v>
      </c>
      <c r="AP68" s="9">
        <v>6.3887794088352061</v>
      </c>
      <c r="AQ68" s="9">
        <v>6.1965710485282788</v>
      </c>
      <c r="AR68" s="9">
        <v>1.2787140660783516</v>
      </c>
      <c r="AS68" s="9">
        <v>6.0501520858748599</v>
      </c>
      <c r="AT68" s="9">
        <v>9.3090151081505752</v>
      </c>
      <c r="AU68" s="9">
        <v>14.071705855266135</v>
      </c>
      <c r="AV68" s="9">
        <v>8.8456801900506985</v>
      </c>
      <c r="AW68" s="9">
        <v>2.4725813816110551</v>
      </c>
      <c r="AX68" s="9">
        <v>0.66350939101511752</v>
      </c>
      <c r="AY68" s="9">
        <v>1.6007114988958673</v>
      </c>
      <c r="AZ68" s="9">
        <v>6.1416157084411571</v>
      </c>
      <c r="BA68" s="9">
        <v>9.247450656485654</v>
      </c>
      <c r="BB68" s="9">
        <v>9.7576489041921075</v>
      </c>
      <c r="BC68" s="9">
        <v>6.3902797541862535</v>
      </c>
      <c r="BD68" s="9">
        <v>6.1893107888746588</v>
      </c>
    </row>
    <row r="69" spans="3:56" x14ac:dyDescent="0.25">
      <c r="C69" s="111">
        <v>33.233499999999999</v>
      </c>
      <c r="F69" s="111">
        <v>14.734</v>
      </c>
      <c r="G69" s="112">
        <v>50</v>
      </c>
      <c r="J69" s="111">
        <v>2222.54</v>
      </c>
      <c r="K69" s="111">
        <v>2016.54</v>
      </c>
      <c r="L69" s="91">
        <v>8.0459267786222313</v>
      </c>
      <c r="M69" s="12">
        <v>379.52530882219475</v>
      </c>
      <c r="N69" s="11">
        <v>14.474513724490082</v>
      </c>
      <c r="O69" s="11">
        <v>1853.3186536615131</v>
      </c>
      <c r="P69" s="11">
        <v>148.74683261399673</v>
      </c>
      <c r="Q69" s="11">
        <v>3.5560303815198626</v>
      </c>
      <c r="R69" s="11">
        <v>2.2764820324100792</v>
      </c>
      <c r="S69" s="13">
        <v>11.718796206794886</v>
      </c>
      <c r="T69" s="14">
        <v>1024.8909032027543</v>
      </c>
      <c r="U69" s="91">
        <v>8.2019794790801317</v>
      </c>
      <c r="V69" s="12">
        <v>249.03234158265641</v>
      </c>
      <c r="W69" s="11">
        <v>13.118124800860814</v>
      </c>
      <c r="X69" s="11">
        <v>1858.6085825422517</v>
      </c>
      <c r="Y69" s="11">
        <v>144.81329265688728</v>
      </c>
      <c r="Z69" s="11">
        <v>3.4894670981852451</v>
      </c>
      <c r="AA69" s="11">
        <v>2.196204815107659</v>
      </c>
      <c r="AB69" s="13">
        <v>11.883414125252509</v>
      </c>
      <c r="AC69" s="14">
        <v>1026.2750125617506</v>
      </c>
      <c r="AD69" s="15">
        <v>4</v>
      </c>
      <c r="AE69" s="9">
        <v>1.4186367599324499</v>
      </c>
      <c r="AF69" s="9">
        <v>5.9385806640785601</v>
      </c>
      <c r="AG69" s="9">
        <v>9.1414291488435104</v>
      </c>
      <c r="AH69" s="9">
        <v>13.638856587023309</v>
      </c>
      <c r="AI69" s="9">
        <v>8.7185208076153735</v>
      </c>
      <c r="AJ69" s="9">
        <v>2.5566576514330164</v>
      </c>
      <c r="AK69" s="9">
        <v>0.84258100012920012</v>
      </c>
      <c r="AL69" s="9">
        <v>1.6002820514499023</v>
      </c>
      <c r="AM69" s="9">
        <v>6.0440118666191713</v>
      </c>
      <c r="AN69" s="9">
        <v>9.0087439534815221</v>
      </c>
      <c r="AO69" s="9">
        <v>9.5606546293430039</v>
      </c>
      <c r="AP69" s="9">
        <v>6.3888235729835046</v>
      </c>
      <c r="AQ69" s="9">
        <v>6.1951223371060777</v>
      </c>
      <c r="AR69" s="9">
        <v>1.2783839938525579</v>
      </c>
      <c r="AS69" s="9">
        <v>6.0506632991078675</v>
      </c>
      <c r="AT69" s="9">
        <v>9.3103589890355778</v>
      </c>
      <c r="AU69" s="9">
        <v>14.072531149092676</v>
      </c>
      <c r="AV69" s="9">
        <v>8.8463964009908143</v>
      </c>
      <c r="AW69" s="9">
        <v>2.473622808595402</v>
      </c>
      <c r="AX69" s="9">
        <v>0.66489905168107122</v>
      </c>
      <c r="AY69" s="9">
        <v>1.6010412312816698</v>
      </c>
      <c r="AZ69" s="9">
        <v>6.142240990329217</v>
      </c>
      <c r="BA69" s="9">
        <v>9.246746340990164</v>
      </c>
      <c r="BB69" s="9">
        <v>9.7579475479181639</v>
      </c>
      <c r="BC69" s="9">
        <v>6.3922565163709093</v>
      </c>
      <c r="BD69" s="9">
        <v>6.1911702479923232</v>
      </c>
    </row>
    <row r="70" spans="3:56" x14ac:dyDescent="0.25">
      <c r="C70" s="111">
        <v>33.445</v>
      </c>
      <c r="F70" s="111">
        <v>11.061999999999999</v>
      </c>
      <c r="G70" s="112">
        <v>100</v>
      </c>
      <c r="J70" s="111">
        <v>2223.66</v>
      </c>
      <c r="K70" s="111">
        <v>2106.89</v>
      </c>
      <c r="L70" s="91">
        <v>7.877207194389154</v>
      </c>
      <c r="M70" s="12">
        <v>581.81040989998974</v>
      </c>
      <c r="N70" s="11">
        <v>24.87782377018786</v>
      </c>
      <c r="O70" s="11">
        <v>1987.4956481372797</v>
      </c>
      <c r="P70" s="11">
        <v>94.516528092532184</v>
      </c>
      <c r="Q70" s="11">
        <v>2.2319397817965134</v>
      </c>
      <c r="R70" s="11">
        <v>1.4200181924127357</v>
      </c>
      <c r="S70" s="13">
        <v>15.139262578246473</v>
      </c>
      <c r="T70" s="14">
        <v>1026.0051913662605</v>
      </c>
      <c r="U70" s="91">
        <v>7.9749843072338944</v>
      </c>
      <c r="V70" s="12">
        <v>449.5680781627953</v>
      </c>
      <c r="W70" s="11">
        <v>23.652132733237458</v>
      </c>
      <c r="X70" s="11">
        <v>1990.7991060826221</v>
      </c>
      <c r="Y70" s="11">
        <v>92.438761184140276</v>
      </c>
      <c r="Z70" s="11">
        <v>2.224957326501614</v>
      </c>
      <c r="AA70" s="11">
        <v>1.4009625400450432</v>
      </c>
      <c r="AB70" s="13">
        <v>15.371989979386715</v>
      </c>
      <c r="AC70" s="14">
        <v>1026.442638778421</v>
      </c>
      <c r="AD70" s="15">
        <v>4</v>
      </c>
      <c r="AE70" s="9">
        <v>1.3689691004537772</v>
      </c>
      <c r="AF70" s="9">
        <v>5.9747133950342608</v>
      </c>
      <c r="AG70" s="9">
        <v>9.2000056206104563</v>
      </c>
      <c r="AH70" s="9">
        <v>13.794037584192942</v>
      </c>
      <c r="AI70" s="9">
        <v>8.7607501772070968</v>
      </c>
      <c r="AJ70" s="9">
        <v>2.5230403911782577</v>
      </c>
      <c r="AK70" s="9">
        <v>0.77374069827366021</v>
      </c>
      <c r="AL70" s="9">
        <v>1.5971523907026046</v>
      </c>
      <c r="AM70" s="9">
        <v>6.0747443144744135</v>
      </c>
      <c r="AN70" s="9">
        <v>9.0943238801600366</v>
      </c>
      <c r="AO70" s="9">
        <v>9.628266633237935</v>
      </c>
      <c r="AP70" s="9">
        <v>6.3807254311254784</v>
      </c>
      <c r="AQ70" s="9">
        <v>6.184336866394565</v>
      </c>
      <c r="AR70" s="9">
        <v>1.2789251587808943</v>
      </c>
      <c r="AS70" s="9">
        <v>6.0498271777187433</v>
      </c>
      <c r="AT70" s="9">
        <v>9.3081576276382041</v>
      </c>
      <c r="AU70" s="9">
        <v>14.071179804172834</v>
      </c>
      <c r="AV70" s="9">
        <v>8.8452237481128808</v>
      </c>
      <c r="AW70" s="9">
        <v>2.4719163552907224</v>
      </c>
      <c r="AX70" s="9">
        <v>0.66261710661146833</v>
      </c>
      <c r="AY70" s="9">
        <v>1.6005021384531535</v>
      </c>
      <c r="AZ70" s="9">
        <v>6.1412196563945978</v>
      </c>
      <c r="BA70" s="9">
        <v>9.2479152282529906</v>
      </c>
      <c r="BB70" s="9">
        <v>9.7574592127928259</v>
      </c>
      <c r="BC70" s="9">
        <v>6.3890182874266124</v>
      </c>
      <c r="BD70" s="9">
        <v>6.1881231245264248</v>
      </c>
    </row>
    <row r="71" spans="3:56" x14ac:dyDescent="0.25">
      <c r="C71" s="111">
        <v>33.842399999999998</v>
      </c>
      <c r="F71" s="111">
        <v>9.5380000000000003</v>
      </c>
      <c r="G71" s="112">
        <v>170</v>
      </c>
      <c r="J71" s="111">
        <v>2247.16</v>
      </c>
      <c r="K71" s="111">
        <v>2173.75</v>
      </c>
      <c r="L71" s="91">
        <v>7.7611116875787562</v>
      </c>
      <c r="M71" s="12">
        <v>775.31738413921767</v>
      </c>
      <c r="N71" s="11">
        <v>34.776914350946811</v>
      </c>
      <c r="O71" s="11">
        <v>2067.1108656816577</v>
      </c>
      <c r="P71" s="11">
        <v>71.862219967395177</v>
      </c>
      <c r="Q71" s="11">
        <v>1.6702719135662545</v>
      </c>
      <c r="R71" s="11">
        <v>1.0615867294655035</v>
      </c>
      <c r="S71" s="13">
        <v>17.142291255935124</v>
      </c>
      <c r="T71" s="14">
        <v>1026.8960710772005</v>
      </c>
      <c r="U71" s="91">
        <v>7.8364227403399056</v>
      </c>
      <c r="V71" s="12">
        <v>642.20816573967079</v>
      </c>
      <c r="W71" s="11">
        <v>33.708066142546365</v>
      </c>
      <c r="X71" s="11">
        <v>2069.5326605065125</v>
      </c>
      <c r="Y71" s="11">
        <v>70.509273350940973</v>
      </c>
      <c r="Z71" s="11">
        <v>1.6935448476431851</v>
      </c>
      <c r="AA71" s="11">
        <v>1.0671948636648922</v>
      </c>
      <c r="AB71" s="13">
        <v>17.399941473737211</v>
      </c>
      <c r="AC71" s="14">
        <v>1026.7576362383363</v>
      </c>
      <c r="AD71" s="15">
        <v>4</v>
      </c>
      <c r="AE71" s="9">
        <v>1.3481884760569438</v>
      </c>
      <c r="AF71" s="9">
        <v>5.987038963500062</v>
      </c>
      <c r="AG71" s="9">
        <v>9.2199748281156797</v>
      </c>
      <c r="AH71" s="9">
        <v>13.856232830658744</v>
      </c>
      <c r="AI71" s="9">
        <v>8.774375594172044</v>
      </c>
      <c r="AJ71" s="9">
        <v>2.5054648039562175</v>
      </c>
      <c r="AK71" s="9">
        <v>0.73958807357851919</v>
      </c>
      <c r="AL71" s="9">
        <v>1.5941702511293185</v>
      </c>
      <c r="AM71" s="9">
        <v>6.084832308981091</v>
      </c>
      <c r="AN71" s="9">
        <v>9.1298714453805054</v>
      </c>
      <c r="AO71" s="9">
        <v>9.6539688368615835</v>
      </c>
      <c r="AP71" s="9">
        <v>6.3687073132159009</v>
      </c>
      <c r="AQ71" s="9">
        <v>6.1718756158362771</v>
      </c>
      <c r="AR71" s="9">
        <v>1.2799419859322929</v>
      </c>
      <c r="AS71" s="9">
        <v>6.048284293123702</v>
      </c>
      <c r="AT71" s="9">
        <v>9.3040487860048824</v>
      </c>
      <c r="AU71" s="9">
        <v>14.068664819771726</v>
      </c>
      <c r="AV71" s="9">
        <v>8.8430424739006934</v>
      </c>
      <c r="AW71" s="9">
        <v>2.4687237983670491</v>
      </c>
      <c r="AX71" s="9">
        <v>0.65827929258665052</v>
      </c>
      <c r="AY71" s="9">
        <v>1.5995100636197308</v>
      </c>
      <c r="AZ71" s="9">
        <v>6.1393534499398719</v>
      </c>
      <c r="BA71" s="9">
        <v>9.2503061787272749</v>
      </c>
      <c r="BB71" s="9">
        <v>9.7565595702135681</v>
      </c>
      <c r="BC71" s="9">
        <v>6.3829712271426216</v>
      </c>
      <c r="BD71" s="9">
        <v>6.1824182515794988</v>
      </c>
    </row>
    <row r="72" spans="3:56" x14ac:dyDescent="0.25">
      <c r="C72" s="111">
        <v>34.079000000000001</v>
      </c>
      <c r="F72" s="111">
        <v>8.9420000000000002</v>
      </c>
      <c r="G72" s="112">
        <v>230</v>
      </c>
      <c r="J72" s="111">
        <v>2266.46</v>
      </c>
      <c r="K72" s="111">
        <v>2217.54</v>
      </c>
      <c r="L72" s="91">
        <v>7.6847000838064599</v>
      </c>
      <c r="M72" s="12">
        <v>934.81374684760192</v>
      </c>
      <c r="N72" s="11">
        <v>42.717924497715821</v>
      </c>
      <c r="O72" s="11">
        <v>2114.0406299945462</v>
      </c>
      <c r="P72" s="11">
        <v>60.781445507737928</v>
      </c>
      <c r="Q72" s="11">
        <v>1.3947040020334263</v>
      </c>
      <c r="R72" s="11">
        <v>0.88660815589102304</v>
      </c>
      <c r="S72" s="13">
        <v>18.06675630933179</v>
      </c>
      <c r="T72" s="14">
        <v>1027.4509487678442</v>
      </c>
      <c r="U72" s="91">
        <v>7.752316447925657</v>
      </c>
      <c r="V72" s="12">
        <v>796.42034852691381</v>
      </c>
      <c r="W72" s="11">
        <v>41.744087635896832</v>
      </c>
      <c r="X72" s="11">
        <v>2116.0614150088236</v>
      </c>
      <c r="Y72" s="11">
        <v>59.734497355279665</v>
      </c>
      <c r="Z72" s="11">
        <v>1.4329258419970521</v>
      </c>
      <c r="AA72" s="11">
        <v>0.903366497022838</v>
      </c>
      <c r="AB72" s="13">
        <v>18.326372496074018</v>
      </c>
      <c r="AC72" s="14">
        <v>1026.9451978683221</v>
      </c>
      <c r="AD72" s="15">
        <v>4</v>
      </c>
      <c r="AE72" s="9">
        <v>1.3401149464508455</v>
      </c>
      <c r="AF72" s="9">
        <v>5.9901968978061246</v>
      </c>
      <c r="AG72" s="9">
        <v>9.2260423893321963</v>
      </c>
      <c r="AH72" s="9">
        <v>13.8791506318298</v>
      </c>
      <c r="AI72" s="9">
        <v>8.7776186626701325</v>
      </c>
      <c r="AJ72" s="9">
        <v>2.4973131153332906</v>
      </c>
      <c r="AK72" s="9">
        <v>0.7241143673106385</v>
      </c>
      <c r="AL72" s="9">
        <v>1.592050868344375</v>
      </c>
      <c r="AM72" s="9">
        <v>6.0872388021777049</v>
      </c>
      <c r="AN72" s="9">
        <v>9.1429589240272549</v>
      </c>
      <c r="AO72" s="9">
        <v>9.6622780616450683</v>
      </c>
      <c r="AP72" s="9">
        <v>6.3601060987979867</v>
      </c>
      <c r="AQ72" s="9">
        <v>6.1633557737552458</v>
      </c>
      <c r="AR72" s="9">
        <v>1.2805473742161908</v>
      </c>
      <c r="AS72" s="9">
        <v>6.0473831532341098</v>
      </c>
      <c r="AT72" s="9">
        <v>9.3016195025055701</v>
      </c>
      <c r="AU72" s="9">
        <v>14.06718225062863</v>
      </c>
      <c r="AV72" s="9">
        <v>8.8417574037268398</v>
      </c>
      <c r="AW72" s="9">
        <v>2.466831489809389</v>
      </c>
      <c r="AX72" s="9">
        <v>0.65566460542432414</v>
      </c>
      <c r="AY72" s="9">
        <v>1.5989321813975756</v>
      </c>
      <c r="AZ72" s="9">
        <v>6.1382747133809721</v>
      </c>
      <c r="BA72" s="9">
        <v>9.2518488432789674</v>
      </c>
      <c r="BB72" s="9">
        <v>9.756034916300818</v>
      </c>
      <c r="BC72" s="9">
        <v>6.3793935773797372</v>
      </c>
      <c r="BD72" s="9">
        <v>6.1790338423093054</v>
      </c>
    </row>
    <row r="73" spans="3:56" x14ac:dyDescent="0.25">
      <c r="C73" s="111">
        <v>34.229300000000002</v>
      </c>
      <c r="F73" s="111">
        <v>8.5150000000000006</v>
      </c>
      <c r="G73" s="112">
        <v>320</v>
      </c>
      <c r="J73" s="111">
        <v>2283.21</v>
      </c>
      <c r="K73" s="111">
        <v>2256.88</v>
      </c>
      <c r="L73" s="91">
        <v>7.6097147677667056</v>
      </c>
      <c r="M73" s="12">
        <v>1117.0914491113767</v>
      </c>
      <c r="N73" s="11">
        <v>51.743802051798859</v>
      </c>
      <c r="O73" s="11">
        <v>2153.4195611640971</v>
      </c>
      <c r="P73" s="11">
        <v>51.716636784104182</v>
      </c>
      <c r="Q73" s="11">
        <v>1.1655319633594261</v>
      </c>
      <c r="R73" s="11">
        <v>0.7414242879511096</v>
      </c>
      <c r="S73" s="13">
        <v>18.592069744443975</v>
      </c>
      <c r="T73" s="14">
        <v>1028.045189191731</v>
      </c>
      <c r="U73" s="91">
        <v>7.6736634701322881</v>
      </c>
      <c r="V73" s="12">
        <v>971.72694112876525</v>
      </c>
      <c r="W73" s="11">
        <v>50.887638449666603</v>
      </c>
      <c r="X73" s="11">
        <v>2155.0547142270816</v>
      </c>
      <c r="Y73" s="11">
        <v>50.937647323252008</v>
      </c>
      <c r="Z73" s="11">
        <v>1.2209120951788222</v>
      </c>
      <c r="AA73" s="11">
        <v>0.76991600168145513</v>
      </c>
      <c r="AB73" s="13">
        <v>18.832969764674441</v>
      </c>
      <c r="AC73" s="14">
        <v>1027.0643547329435</v>
      </c>
      <c r="AD73" s="15">
        <v>4</v>
      </c>
      <c r="AE73" s="9">
        <v>1.334230390657638</v>
      </c>
      <c r="AF73" s="9">
        <v>5.9904444508182602</v>
      </c>
      <c r="AG73" s="9">
        <v>9.2292131472724535</v>
      </c>
      <c r="AH73" s="9">
        <v>13.894135658129043</v>
      </c>
      <c r="AI73" s="9">
        <v>8.7776053968455994</v>
      </c>
      <c r="AJ73" s="9">
        <v>2.4907605582441126</v>
      </c>
      <c r="AK73" s="9">
        <v>0.71158689343288128</v>
      </c>
      <c r="AL73" s="9">
        <v>1.5894358107047857</v>
      </c>
      <c r="AM73" s="9">
        <v>6.0872237180676896</v>
      </c>
      <c r="AN73" s="9">
        <v>9.150156115833159</v>
      </c>
      <c r="AO73" s="9">
        <v>9.665859348106391</v>
      </c>
      <c r="AP73" s="9">
        <v>6.3503778145270973</v>
      </c>
      <c r="AQ73" s="9">
        <v>6.1539204352502468</v>
      </c>
      <c r="AR73" s="9">
        <v>1.2809319467397318</v>
      </c>
      <c r="AS73" s="9">
        <v>6.0468174662563046</v>
      </c>
      <c r="AT73" s="9">
        <v>9.3000828888152984</v>
      </c>
      <c r="AU73" s="9">
        <v>14.066246112013584</v>
      </c>
      <c r="AV73" s="9">
        <v>8.8409462985025566</v>
      </c>
      <c r="AW73" s="9">
        <v>2.4656326360723648</v>
      </c>
      <c r="AX73" s="9">
        <v>0.65399083154375104</v>
      </c>
      <c r="AY73" s="9">
        <v>1.5985699752630782</v>
      </c>
      <c r="AZ73" s="9">
        <v>6.1376018418675597</v>
      </c>
      <c r="BA73" s="9">
        <v>9.2528744837746295</v>
      </c>
      <c r="BB73" s="9">
        <v>9.7557058311799238</v>
      </c>
      <c r="BC73" s="9">
        <v>6.3771294147510798</v>
      </c>
      <c r="BD73" s="9">
        <v>6.1768883645377324</v>
      </c>
    </row>
    <row r="74" spans="3:56" x14ac:dyDescent="0.25">
      <c r="C74" s="111">
        <v>34.307899999999997</v>
      </c>
      <c r="F74" s="111">
        <v>6.54</v>
      </c>
      <c r="G74" s="112">
        <v>515</v>
      </c>
      <c r="J74" s="111">
        <v>2314.7399999999998</v>
      </c>
      <c r="K74" s="111">
        <v>2312.73</v>
      </c>
      <c r="L74" s="91">
        <v>7.5468393456056404</v>
      </c>
      <c r="M74" s="12">
        <v>1276.1788339029285</v>
      </c>
      <c r="N74" s="11">
        <v>63.247155889061318</v>
      </c>
      <c r="O74" s="11">
        <v>2206.4669300288679</v>
      </c>
      <c r="P74" s="11">
        <v>43.015914082070545</v>
      </c>
      <c r="Q74" s="11">
        <v>0.93204414886245124</v>
      </c>
      <c r="R74" s="11">
        <v>0.59267162739635082</v>
      </c>
      <c r="S74" s="13">
        <v>18.855236701445961</v>
      </c>
      <c r="T74" s="14">
        <v>1029.2930134587859</v>
      </c>
      <c r="U74" s="91">
        <v>7.5902275842372084</v>
      </c>
      <c r="V74" s="12">
        <v>1205.4143222868954</v>
      </c>
      <c r="W74" s="11">
        <v>63.096211963241466</v>
      </c>
      <c r="X74" s="11">
        <v>2206.5163073343988</v>
      </c>
      <c r="Y74" s="11">
        <v>43.117480702359593</v>
      </c>
      <c r="Z74" s="11">
        <v>1.0330314845427362</v>
      </c>
      <c r="AA74" s="11">
        <v>0.65152834420737837</v>
      </c>
      <c r="AB74" s="13">
        <v>18.898525035641953</v>
      </c>
      <c r="AC74" s="14">
        <v>1027.1266709335418</v>
      </c>
      <c r="AD74" s="15">
        <v>4</v>
      </c>
      <c r="AE74" s="9">
        <v>1.3048705364991695</v>
      </c>
      <c r="AF74" s="9">
        <v>6.004182923714632</v>
      </c>
      <c r="AG74" s="9">
        <v>9.2569076123103127</v>
      </c>
      <c r="AH74" s="9">
        <v>13.97616813556812</v>
      </c>
      <c r="AI74" s="9">
        <v>8.7925510751442211</v>
      </c>
      <c r="AJ74" s="9">
        <v>2.4692641704182483</v>
      </c>
      <c r="AK74" s="9">
        <v>0.66636349214968504</v>
      </c>
      <c r="AL74" s="9">
        <v>1.584567402609693</v>
      </c>
      <c r="AM74" s="9">
        <v>6.0993482827015395</v>
      </c>
      <c r="AN74" s="9">
        <v>9.190304408863037</v>
      </c>
      <c r="AO74" s="9">
        <v>9.6957532636334509</v>
      </c>
      <c r="AP74" s="9">
        <v>6.3322951113561192</v>
      </c>
      <c r="AQ74" s="9">
        <v>6.1356727639738207</v>
      </c>
      <c r="AR74" s="9">
        <v>1.2811330605145177</v>
      </c>
      <c r="AS74" s="9">
        <v>6.0465237295482286</v>
      </c>
      <c r="AT74" s="9">
        <v>9.2992813480354588</v>
      </c>
      <c r="AU74" s="9">
        <v>14.065758294511628</v>
      </c>
      <c r="AV74" s="9">
        <v>8.8405237409567103</v>
      </c>
      <c r="AW74" s="9">
        <v>2.465006684111946</v>
      </c>
      <c r="AX74" s="9">
        <v>0.65311150065311252</v>
      </c>
      <c r="AY74" s="9">
        <v>1.598382061699626</v>
      </c>
      <c r="AZ74" s="9">
        <v>6.1372537698554712</v>
      </c>
      <c r="BA74" s="9">
        <v>9.2534248786203577</v>
      </c>
      <c r="BB74" s="9">
        <v>9.7555350254322839</v>
      </c>
      <c r="BC74" s="9">
        <v>6.3759479633834593</v>
      </c>
      <c r="BD74" s="9">
        <v>6.1757677194007243</v>
      </c>
    </row>
    <row r="75" spans="3:56" x14ac:dyDescent="0.25">
      <c r="C75" s="111">
        <v>33.3889</v>
      </c>
      <c r="F75" s="111">
        <v>16.899999999999999</v>
      </c>
      <c r="G75" s="112">
        <v>2</v>
      </c>
      <c r="J75" s="111">
        <v>2233.1</v>
      </c>
      <c r="K75" s="111">
        <v>2003.81</v>
      </c>
      <c r="L75" s="91">
        <v>8.0595508626690986</v>
      </c>
      <c r="M75" s="12">
        <v>369.14940244197697</v>
      </c>
      <c r="N75" s="11">
        <v>13.184288575437947</v>
      </c>
      <c r="O75" s="11">
        <v>1826.1506071608371</v>
      </c>
      <c r="P75" s="11">
        <v>164.47510426372489</v>
      </c>
      <c r="Q75" s="11">
        <v>3.9666540661858689</v>
      </c>
      <c r="R75" s="11">
        <v>2.5510124833020642</v>
      </c>
      <c r="S75" s="13">
        <v>11.064883225808657</v>
      </c>
      <c r="T75" s="14">
        <v>1024.3112626620284</v>
      </c>
      <c r="U75" s="91">
        <v>8.2481471215062445</v>
      </c>
      <c r="V75" s="12">
        <v>220.69566219746977</v>
      </c>
      <c r="W75" s="11">
        <v>11.614811913970721</v>
      </c>
      <c r="X75" s="11">
        <v>1832.7843169871401</v>
      </c>
      <c r="Y75" s="11">
        <v>159.41087109888909</v>
      </c>
      <c r="Z75" s="11">
        <v>3.8380796318857664</v>
      </c>
      <c r="AA75" s="11">
        <v>2.4163994931164652</v>
      </c>
      <c r="AB75" s="13">
        <v>11.239889955967508</v>
      </c>
      <c r="AC75" s="14">
        <v>1026.3981749841162</v>
      </c>
      <c r="AD75" s="15">
        <v>4</v>
      </c>
      <c r="AE75" s="9">
        <v>1.44714546952798</v>
      </c>
      <c r="AF75" s="9">
        <v>5.9180709708727397</v>
      </c>
      <c r="AG75" s="9">
        <v>9.1049872843089741</v>
      </c>
      <c r="AH75" s="9">
        <v>13.548344930429419</v>
      </c>
      <c r="AI75" s="9">
        <v>8.6934514825857523</v>
      </c>
      <c r="AJ75" s="9">
        <v>2.5741981785109145</v>
      </c>
      <c r="AK75" s="9">
        <v>0.87998390353177014</v>
      </c>
      <c r="AL75" s="9">
        <v>1.6022352650259473</v>
      </c>
      <c r="AM75" s="9">
        <v>6.0262993248755929</v>
      </c>
      <c r="AN75" s="9">
        <v>8.9609579571353954</v>
      </c>
      <c r="AO75" s="9">
        <v>9.5224247688389632</v>
      </c>
      <c r="AP75" s="9">
        <v>6.3906039638091974</v>
      </c>
      <c r="AQ75" s="9">
        <v>6.1988922205366483</v>
      </c>
      <c r="AR75" s="9">
        <v>1.2787816157431651</v>
      </c>
      <c r="AS75" s="9">
        <v>6.0500479429245457</v>
      </c>
      <c r="AT75" s="9">
        <v>9.3087405464893767</v>
      </c>
      <c r="AU75" s="9">
        <v>14.071537370460751</v>
      </c>
      <c r="AV75" s="9">
        <v>8.8455339930176358</v>
      </c>
      <c r="AW75" s="9">
        <v>2.4723684882976369</v>
      </c>
      <c r="AX75" s="9">
        <v>0.66322416300220177</v>
      </c>
      <c r="AY75" s="9">
        <v>1.6006443752679986</v>
      </c>
      <c r="AZ75" s="9">
        <v>6.141488646816998</v>
      </c>
      <c r="BA75" s="9">
        <v>9.2475981222672239</v>
      </c>
      <c r="BB75" s="9">
        <v>9.7575880927222851</v>
      </c>
      <c r="BC75" s="9">
        <v>6.3898758532739661</v>
      </c>
      <c r="BD75" s="9">
        <v>6.188930608062245</v>
      </c>
    </row>
    <row r="76" spans="3:56" x14ac:dyDescent="0.25">
      <c r="C76" s="111">
        <v>33.383000000000003</v>
      </c>
      <c r="F76" s="111">
        <v>16.518000000000001</v>
      </c>
      <c r="G76" s="112">
        <v>30</v>
      </c>
      <c r="J76" s="111">
        <v>2231.9899999999998</v>
      </c>
      <c r="K76" s="111">
        <v>2003.73</v>
      </c>
      <c r="L76" s="91">
        <v>8.0625877752005728</v>
      </c>
      <c r="M76" s="12">
        <v>364.84899621851838</v>
      </c>
      <c r="N76" s="11">
        <v>13.178481701901568</v>
      </c>
      <c r="O76" s="11">
        <v>1826.9733138960607</v>
      </c>
      <c r="P76" s="11">
        <v>163.57820440203764</v>
      </c>
      <c r="Q76" s="11">
        <v>3.9256414960782942</v>
      </c>
      <c r="R76" s="11">
        <v>2.5232067802170048</v>
      </c>
      <c r="S76" s="13">
        <v>11.095318031331386</v>
      </c>
      <c r="T76" s="14">
        <v>1024.5193705783731</v>
      </c>
      <c r="U76" s="91">
        <v>8.2462498090327969</v>
      </c>
      <c r="V76" s="12">
        <v>221.73092541537179</v>
      </c>
      <c r="W76" s="11">
        <v>11.669701575576699</v>
      </c>
      <c r="X76" s="11">
        <v>1833.3203364812016</v>
      </c>
      <c r="Y76" s="11">
        <v>158.73996194322163</v>
      </c>
      <c r="Z76" s="11">
        <v>3.8220451742420201</v>
      </c>
      <c r="AA76" s="11">
        <v>2.4062751053181297</v>
      </c>
      <c r="AB76" s="13">
        <v>11.264349845014122</v>
      </c>
      <c r="AC76" s="14">
        <v>1026.3934988082144</v>
      </c>
      <c r="AD76" s="15">
        <v>4</v>
      </c>
      <c r="AE76" s="9">
        <v>1.4422477778480027</v>
      </c>
      <c r="AF76" s="9">
        <v>5.9207209493242008</v>
      </c>
      <c r="AG76" s="9">
        <v>9.1105945423472257</v>
      </c>
      <c r="AH76" s="9">
        <v>13.563373652158587</v>
      </c>
      <c r="AI76" s="9">
        <v>8.6967561145981129</v>
      </c>
      <c r="AJ76" s="9">
        <v>2.5705917524679962</v>
      </c>
      <c r="AK76" s="9">
        <v>0.87266802833880719</v>
      </c>
      <c r="AL76" s="9">
        <v>1.6013544950259153</v>
      </c>
      <c r="AM76" s="9">
        <v>6.0285017116456583</v>
      </c>
      <c r="AN76" s="9">
        <v>8.9685587109477432</v>
      </c>
      <c r="AO76" s="9">
        <v>9.5280727594667933</v>
      </c>
      <c r="AP76" s="9">
        <v>6.3885417551523229</v>
      </c>
      <c r="AQ76" s="9">
        <v>6.1965839624336905</v>
      </c>
      <c r="AR76" s="9">
        <v>1.2787665194165594</v>
      </c>
      <c r="AS76" s="9">
        <v>6.0500712032213944</v>
      </c>
      <c r="AT76" s="9">
        <v>9.3088018931488534</v>
      </c>
      <c r="AU76" s="9">
        <v>14.071575012126987</v>
      </c>
      <c r="AV76" s="9">
        <v>8.8455666547583078</v>
      </c>
      <c r="AW76" s="9">
        <v>2.4724160597881633</v>
      </c>
      <c r="AX76" s="9">
        <v>0.66328793182564527</v>
      </c>
      <c r="AY76" s="9">
        <v>1.6006593658955077</v>
      </c>
      <c r="AZ76" s="9">
        <v>6.1415170166013757</v>
      </c>
      <c r="BA76" s="9">
        <v>9.2475650680398687</v>
      </c>
      <c r="BB76" s="9">
        <v>9.7576016741544809</v>
      </c>
      <c r="BC76" s="9">
        <v>6.3899661000609544</v>
      </c>
      <c r="BD76" s="9">
        <v>6.1890155622036742</v>
      </c>
    </row>
    <row r="77" spans="3:56" x14ac:dyDescent="0.25">
      <c r="C77" s="111">
        <v>33.2911</v>
      </c>
      <c r="F77" s="111">
        <v>14.635</v>
      </c>
      <c r="G77" s="112">
        <v>50</v>
      </c>
      <c r="J77" s="111">
        <v>2220.38</v>
      </c>
      <c r="K77" s="111">
        <v>2023.29</v>
      </c>
      <c r="L77" s="91">
        <v>8.0274765659591036</v>
      </c>
      <c r="M77" s="12">
        <v>398.13698183877318</v>
      </c>
      <c r="N77" s="11">
        <v>15.225348411637462</v>
      </c>
      <c r="O77" s="11">
        <v>1864.9601465165629</v>
      </c>
      <c r="P77" s="11">
        <v>143.10450507179971</v>
      </c>
      <c r="Q77" s="11">
        <v>3.4196237218345891</v>
      </c>
      <c r="R77" s="11">
        <v>2.1889601793438986</v>
      </c>
      <c r="S77" s="13">
        <v>11.979538945171246</v>
      </c>
      <c r="T77" s="14">
        <v>1024.9565241538696</v>
      </c>
      <c r="U77" s="91">
        <v>8.1816581009035136</v>
      </c>
      <c r="V77" s="12">
        <v>262.54250565051899</v>
      </c>
      <c r="W77" s="11">
        <v>13.825099028022622</v>
      </c>
      <c r="X77" s="11">
        <v>1870.216110842648</v>
      </c>
      <c r="Y77" s="11">
        <v>139.24879012932939</v>
      </c>
      <c r="Z77" s="11">
        <v>3.3543693176914609</v>
      </c>
      <c r="AA77" s="11">
        <v>2.1114328422534174</v>
      </c>
      <c r="AB77" s="13">
        <v>12.155147602598285</v>
      </c>
      <c r="AC77" s="14">
        <v>1026.3206627000407</v>
      </c>
      <c r="AD77" s="15">
        <v>4</v>
      </c>
      <c r="AE77" s="9">
        <v>1.4174652802021241</v>
      </c>
      <c r="AF77" s="9">
        <v>5.9393742500860389</v>
      </c>
      <c r="AG77" s="9">
        <v>9.1424928155002121</v>
      </c>
      <c r="AH77" s="9">
        <v>13.642641796055306</v>
      </c>
      <c r="AI77" s="9">
        <v>8.7194130709538893</v>
      </c>
      <c r="AJ77" s="9">
        <v>2.5553671703634993</v>
      </c>
      <c r="AK77" s="9">
        <v>0.84036227655686468</v>
      </c>
      <c r="AL77" s="9">
        <v>1.6000526121875087</v>
      </c>
      <c r="AM77" s="9">
        <v>6.0445656508433201</v>
      </c>
      <c r="AN77" s="9">
        <v>9.0112403077007261</v>
      </c>
      <c r="AO77" s="9">
        <v>9.5623784425521592</v>
      </c>
      <c r="AP77" s="9">
        <v>6.3878787883338237</v>
      </c>
      <c r="AQ77" s="9">
        <v>6.1941383283600553</v>
      </c>
      <c r="AR77" s="9">
        <v>1.2785313749394238</v>
      </c>
      <c r="AS77" s="9">
        <v>6.0504345578309859</v>
      </c>
      <c r="AT77" s="9">
        <v>9.3097584643078175</v>
      </c>
      <c r="AU77" s="9">
        <v>14.072162231646031</v>
      </c>
      <c r="AV77" s="9">
        <v>8.8460762268524373</v>
      </c>
      <c r="AW77" s="9">
        <v>2.4731575624662381</v>
      </c>
      <c r="AX77" s="9">
        <v>0.66427938318337543</v>
      </c>
      <c r="AY77" s="9">
        <v>1.600893644048424</v>
      </c>
      <c r="AZ77" s="9">
        <v>6.1419608881062517</v>
      </c>
      <c r="BA77" s="9">
        <v>9.2470574861816583</v>
      </c>
      <c r="BB77" s="9">
        <v>9.7578138924907325</v>
      </c>
      <c r="BC77" s="9">
        <v>6.3913732196865931</v>
      </c>
      <c r="BD77" s="9">
        <v>6.1903396152495906</v>
      </c>
    </row>
    <row r="78" spans="3:56" x14ac:dyDescent="0.25">
      <c r="C78" s="111">
        <v>33.451700000000002</v>
      </c>
      <c r="F78" s="111">
        <v>10.839</v>
      </c>
      <c r="G78" s="112">
        <v>100</v>
      </c>
      <c r="J78" s="112">
        <v>2224</v>
      </c>
      <c r="K78" s="112">
        <v>2109</v>
      </c>
      <c r="L78" s="91">
        <v>7.8754744994446488</v>
      </c>
      <c r="M78" s="12">
        <v>584.04007306705671</v>
      </c>
      <c r="N78" s="11">
        <v>25.154053555996263</v>
      </c>
      <c r="O78" s="11">
        <v>1990.3787193432418</v>
      </c>
      <c r="P78" s="11">
        <v>93.467227100761733</v>
      </c>
      <c r="Q78" s="11">
        <v>2.2068577539704877</v>
      </c>
      <c r="R78" s="11">
        <v>1.403520121111155</v>
      </c>
      <c r="S78" s="13">
        <v>15.227717959579103</v>
      </c>
      <c r="T78" s="14">
        <v>1026.0504340208543</v>
      </c>
      <c r="U78" s="91">
        <v>7.9697792445797226</v>
      </c>
      <c r="V78" s="12">
        <v>455.60828193910385</v>
      </c>
      <c r="W78" s="11">
        <v>23.968966472204336</v>
      </c>
      <c r="X78" s="11">
        <v>1993.5525663917474</v>
      </c>
      <c r="Y78" s="11">
        <v>91.478467136048124</v>
      </c>
      <c r="Z78" s="11">
        <v>2.2017656288802763</v>
      </c>
      <c r="AA78" s="11">
        <v>1.3863786983648068</v>
      </c>
      <c r="AB78" s="13">
        <v>15.455203262154743</v>
      </c>
      <c r="AC78" s="14">
        <v>1026.4479491310303</v>
      </c>
      <c r="AD78" s="15">
        <v>4</v>
      </c>
      <c r="AE78" s="9">
        <v>1.3658346653773754</v>
      </c>
      <c r="AF78" s="9">
        <v>5.9771467610293092</v>
      </c>
      <c r="AG78" s="9">
        <v>9.2037508604728355</v>
      </c>
      <c r="AH78" s="9">
        <v>13.803783664866895</v>
      </c>
      <c r="AI78" s="9">
        <v>8.7635466226630534</v>
      </c>
      <c r="AJ78" s="9">
        <v>2.5210781217782978</v>
      </c>
      <c r="AK78" s="9">
        <v>0.76961068540794053</v>
      </c>
      <c r="AL78" s="9">
        <v>1.5970949085158042</v>
      </c>
      <c r="AM78" s="9">
        <v>6.0768558000385182</v>
      </c>
      <c r="AN78" s="9">
        <v>9.0997140591677805</v>
      </c>
      <c r="AO78" s="9">
        <v>9.6326436962423845</v>
      </c>
      <c r="AP78" s="9">
        <v>6.3805787075903329</v>
      </c>
      <c r="AQ78" s="9">
        <v>6.1840230097074329</v>
      </c>
      <c r="AR78" s="9">
        <v>1.2789423020670403</v>
      </c>
      <c r="AS78" s="9">
        <v>6.049800860780481</v>
      </c>
      <c r="AT78" s="9">
        <v>9.3080880575762723</v>
      </c>
      <c r="AU78" s="9">
        <v>14.071137142297271</v>
      </c>
      <c r="AV78" s="9">
        <v>8.8451867341877222</v>
      </c>
      <c r="AW78" s="9">
        <v>2.4718623813148879</v>
      </c>
      <c r="AX78" s="9">
        <v>0.66254451973414141</v>
      </c>
      <c r="AY78" s="9">
        <v>1.6004851875658599</v>
      </c>
      <c r="AZ78" s="9">
        <v>6.141187623178574</v>
      </c>
      <c r="BA78" s="9">
        <v>9.2479534397542924</v>
      </c>
      <c r="BB78" s="9">
        <v>9.7574438519866522</v>
      </c>
      <c r="BC78" s="9">
        <v>6.3889159342837383</v>
      </c>
      <c r="BD78" s="9">
        <v>6.1880267233332376</v>
      </c>
    </row>
    <row r="79" spans="3:56" x14ac:dyDescent="0.25">
      <c r="C79" s="111">
        <v>33.988300000000002</v>
      </c>
      <c r="F79" s="111">
        <v>9.56</v>
      </c>
      <c r="G79" s="112">
        <v>170</v>
      </c>
      <c r="J79" s="111">
        <v>2254.13</v>
      </c>
      <c r="K79" s="111">
        <v>2198.27</v>
      </c>
      <c r="L79" s="91">
        <v>7.7022565749667411</v>
      </c>
      <c r="M79" s="12">
        <v>899.20021299359632</v>
      </c>
      <c r="N79" s="11">
        <v>40.270238431803222</v>
      </c>
      <c r="O79" s="11">
        <v>2094.1487416871041</v>
      </c>
      <c r="P79" s="11">
        <v>63.851019881092576</v>
      </c>
      <c r="Q79" s="11">
        <v>1.4828115430153022</v>
      </c>
      <c r="R79" s="11">
        <v>0.94273211485523445</v>
      </c>
      <c r="S79" s="13">
        <v>17.785965444495268</v>
      </c>
      <c r="T79" s="14">
        <v>1027.006265131959</v>
      </c>
      <c r="U79" s="91">
        <v>7.776911553641555</v>
      </c>
      <c r="V79" s="12">
        <v>745.86037798309223</v>
      </c>
      <c r="W79" s="11">
        <v>39.114901123133855</v>
      </c>
      <c r="X79" s="11">
        <v>2096.6538037024961</v>
      </c>
      <c r="Y79" s="11">
        <v>62.501295174370128</v>
      </c>
      <c r="Z79" s="11">
        <v>1.5000289599287921</v>
      </c>
      <c r="AA79" s="11">
        <v>0.94551137167362087</v>
      </c>
      <c r="AB79" s="13">
        <v>18.086299801783877</v>
      </c>
      <c r="AC79" s="14">
        <v>1026.8732946815505</v>
      </c>
      <c r="AD79" s="15">
        <v>4</v>
      </c>
      <c r="AE79" s="9">
        <v>1.3488722001129596</v>
      </c>
      <c r="AF79" s="9">
        <v>5.9862332507564089</v>
      </c>
      <c r="AG79" s="9">
        <v>9.218096261596374</v>
      </c>
      <c r="AH79" s="9">
        <v>13.854283042600906</v>
      </c>
      <c r="AI79" s="9">
        <v>8.7732881520919115</v>
      </c>
      <c r="AJ79" s="9">
        <v>2.5044873334933611</v>
      </c>
      <c r="AK79" s="9">
        <v>0.7385586892184115</v>
      </c>
      <c r="AL79" s="9">
        <v>1.5937774272331702</v>
      </c>
      <c r="AM79" s="9">
        <v>6.0838964857129474</v>
      </c>
      <c r="AN79" s="9">
        <v>9.1301168728856137</v>
      </c>
      <c r="AO79" s="9">
        <v>9.6531959021952485</v>
      </c>
      <c r="AP79" s="9">
        <v>6.3664705951795177</v>
      </c>
      <c r="AQ79" s="9">
        <v>6.1697729389141278</v>
      </c>
      <c r="AR79" s="9">
        <v>1.2803153001783654</v>
      </c>
      <c r="AS79" s="9">
        <v>6.0477270640521885</v>
      </c>
      <c r="AT79" s="9">
        <v>9.3025492629359814</v>
      </c>
      <c r="AU79" s="9">
        <v>14.067749296538439</v>
      </c>
      <c r="AV79" s="9">
        <v>8.8422488383702333</v>
      </c>
      <c r="AW79" s="9">
        <v>2.4675561627379685</v>
      </c>
      <c r="AX79" s="9">
        <v>0.65666982592344347</v>
      </c>
      <c r="AY79" s="9">
        <v>1.599152593597295</v>
      </c>
      <c r="AZ79" s="9">
        <v>6.1386854135558595</v>
      </c>
      <c r="BA79" s="9">
        <v>9.2512470385118419</v>
      </c>
      <c r="BB79" s="9">
        <v>9.7562350815609395</v>
      </c>
      <c r="BC79" s="9">
        <v>6.3807631022761484</v>
      </c>
      <c r="BD79" s="9">
        <v>6.180330215019266</v>
      </c>
    </row>
    <row r="80" spans="3:56" x14ac:dyDescent="0.25">
      <c r="C80" s="111">
        <v>34.112499999999997</v>
      </c>
      <c r="F80" s="111">
        <v>9.1539999999999999</v>
      </c>
      <c r="G80" s="112">
        <v>230</v>
      </c>
      <c r="J80" s="111">
        <v>2267.58</v>
      </c>
      <c r="K80" s="111">
        <v>2220.5300000000002</v>
      </c>
      <c r="L80" s="91">
        <v>7.6750515048131671</v>
      </c>
      <c r="M80" s="12">
        <v>958.5536813451879</v>
      </c>
      <c r="N80" s="11">
        <v>43.483524009898709</v>
      </c>
      <c r="O80" s="11">
        <v>2116.967293579165</v>
      </c>
      <c r="P80" s="11">
        <v>60.079182410936497</v>
      </c>
      <c r="Q80" s="11">
        <v>1.37847591564438</v>
      </c>
      <c r="R80" s="11">
        <v>0.87664278482589653</v>
      </c>
      <c r="S80" s="13">
        <v>18.099771692604808</v>
      </c>
      <c r="T80" s="14">
        <v>1027.4423507741103</v>
      </c>
      <c r="U80" s="91">
        <v>7.7456459001911275</v>
      </c>
      <c r="V80" s="12">
        <v>809.84582910846484</v>
      </c>
      <c r="W80" s="11">
        <v>42.439402332396568</v>
      </c>
      <c r="X80" s="11">
        <v>2119.1346155340029</v>
      </c>
      <c r="Y80" s="11">
        <v>58.95598213360045</v>
      </c>
      <c r="Z80" s="11">
        <v>1.4139949650010408</v>
      </c>
      <c r="AA80" s="11">
        <v>0.8914866733261585</v>
      </c>
      <c r="AB80" s="13">
        <v>18.379382899393296</v>
      </c>
      <c r="AC80" s="14">
        <v>1026.9717558800592</v>
      </c>
      <c r="AD80" s="15">
        <v>4</v>
      </c>
      <c r="AE80" s="9">
        <v>1.3432917063307148</v>
      </c>
      <c r="AF80" s="9">
        <v>5.9876620895583352</v>
      </c>
      <c r="AG80" s="9">
        <v>9.2220416392542059</v>
      </c>
      <c r="AH80" s="9">
        <v>13.869453216649482</v>
      </c>
      <c r="AI80" s="9">
        <v>8.7747048511946542</v>
      </c>
      <c r="AJ80" s="9">
        <v>2.4988849502530384</v>
      </c>
      <c r="AK80" s="9">
        <v>0.72776955309969271</v>
      </c>
      <c r="AL80" s="9">
        <v>1.5919597883747039</v>
      </c>
      <c r="AM80" s="9">
        <v>6.0849490640022168</v>
      </c>
      <c r="AN80" s="9">
        <v>9.137965662013265</v>
      </c>
      <c r="AO80" s="9">
        <v>9.6579372557855816</v>
      </c>
      <c r="AP80" s="9">
        <v>6.3596435385408698</v>
      </c>
      <c r="AQ80" s="9">
        <v>6.163067018621164</v>
      </c>
      <c r="AR80" s="9">
        <v>1.2806330906469203</v>
      </c>
      <c r="AS80" s="9">
        <v>6.0472566137275798</v>
      </c>
      <c r="AT80" s="9">
        <v>9.3012765672532929</v>
      </c>
      <c r="AU80" s="9">
        <v>14.06697321747691</v>
      </c>
      <c r="AV80" s="9">
        <v>8.8415762670380129</v>
      </c>
      <c r="AW80" s="9">
        <v>2.4665640635150741</v>
      </c>
      <c r="AX80" s="9">
        <v>0.6552924112584686</v>
      </c>
      <c r="AY80" s="9">
        <v>1.5988511222145341</v>
      </c>
      <c r="AZ80" s="9">
        <v>6.1381239079629504</v>
      </c>
      <c r="BA80" s="9">
        <v>9.2520743853846312</v>
      </c>
      <c r="BB80" s="9">
        <v>9.7559612858035685</v>
      </c>
      <c r="BC80" s="9">
        <v>6.3788883542793409</v>
      </c>
      <c r="BD80" s="9">
        <v>6.1785553466353784</v>
      </c>
    </row>
    <row r="81" spans="3:56" x14ac:dyDescent="0.25">
      <c r="C81" s="111">
        <v>34.234299999999998</v>
      </c>
      <c r="F81" s="111">
        <v>8.3000000000000007</v>
      </c>
      <c r="G81" s="112">
        <v>320</v>
      </c>
      <c r="J81" s="111">
        <v>2282.64</v>
      </c>
      <c r="K81" s="111">
        <v>2255.2199999999998</v>
      </c>
      <c r="L81" s="91">
        <v>7.6164210677094015</v>
      </c>
      <c r="M81" s="12">
        <v>1097.4290923789151</v>
      </c>
      <c r="N81" s="11">
        <v>51.203985479911182</v>
      </c>
      <c r="O81" s="11">
        <v>2151.9713808469919</v>
      </c>
      <c r="P81" s="11">
        <v>52.044633673096556</v>
      </c>
      <c r="Q81" s="11">
        <v>1.1727092760594642</v>
      </c>
      <c r="R81" s="11">
        <v>0.74575018303191654</v>
      </c>
      <c r="S81" s="13">
        <v>18.595298681554571</v>
      </c>
      <c r="T81" s="14">
        <v>1028.08338939942</v>
      </c>
      <c r="U81" s="91">
        <v>7.6773586838540915</v>
      </c>
      <c r="V81" s="12">
        <v>962.76879912972345</v>
      </c>
      <c r="W81" s="11">
        <v>50.417031025933774</v>
      </c>
      <c r="X81" s="11">
        <v>2153.4620026637795</v>
      </c>
      <c r="Y81" s="11">
        <v>51.340966310286404</v>
      </c>
      <c r="Z81" s="11">
        <v>1.2305457871867906</v>
      </c>
      <c r="AA81" s="11">
        <v>0.77599803511135856</v>
      </c>
      <c r="AB81" s="13">
        <v>18.816603088175199</v>
      </c>
      <c r="AC81" s="14">
        <v>1027.0683188139396</v>
      </c>
      <c r="AD81" s="15">
        <v>4</v>
      </c>
      <c r="AE81" s="9">
        <v>1.3310727032222518</v>
      </c>
      <c r="AF81" s="9">
        <v>5.9928883421288237</v>
      </c>
      <c r="AG81" s="9">
        <v>9.2328816030309877</v>
      </c>
      <c r="AH81" s="9">
        <v>13.903768142044431</v>
      </c>
      <c r="AI81" s="9">
        <v>8.7803556194811705</v>
      </c>
      <c r="AJ81" s="9">
        <v>2.4888465157328494</v>
      </c>
      <c r="AK81" s="9">
        <v>0.70744416817697742</v>
      </c>
      <c r="AL81" s="9">
        <v>1.5894352489093744</v>
      </c>
      <c r="AM81" s="9">
        <v>6.0893846141413581</v>
      </c>
      <c r="AN81" s="9">
        <v>9.1554683147596343</v>
      </c>
      <c r="AO81" s="9">
        <v>9.6702006396311972</v>
      </c>
      <c r="AP81" s="9">
        <v>6.3502348707796621</v>
      </c>
      <c r="AQ81" s="9">
        <v>6.1536378789955082</v>
      </c>
      <c r="AR81" s="9">
        <v>1.2809447402368559</v>
      </c>
      <c r="AS81" s="9">
        <v>6.0467987379356414</v>
      </c>
      <c r="AT81" s="9">
        <v>9.3000318585406347</v>
      </c>
      <c r="AU81" s="9">
        <v>14.066215044856216</v>
      </c>
      <c r="AV81" s="9">
        <v>8.8409193852969921</v>
      </c>
      <c r="AW81" s="9">
        <v>2.4655927969721771</v>
      </c>
      <c r="AX81" s="9">
        <v>0.65393497721384342</v>
      </c>
      <c r="AY81" s="9">
        <v>1.598557990788773</v>
      </c>
      <c r="AZ81" s="9">
        <v>6.1375796221513808</v>
      </c>
      <c r="BA81" s="9">
        <v>9.2529092098102446</v>
      </c>
      <c r="BB81" s="9">
        <v>9.7556949393365731</v>
      </c>
      <c r="BC81" s="9">
        <v>6.3770542058633968</v>
      </c>
      <c r="BD81" s="9">
        <v>6.1768170495195722</v>
      </c>
    </row>
    <row r="82" spans="3:56" x14ac:dyDescent="0.25">
      <c r="C82" s="111">
        <v>34.299399999999999</v>
      </c>
      <c r="F82" s="111">
        <v>6.6130000000000004</v>
      </c>
      <c r="G82" s="112">
        <v>515</v>
      </c>
      <c r="J82" s="111">
        <v>2312.85</v>
      </c>
      <c r="K82" s="111">
        <v>2307.4</v>
      </c>
      <c r="L82" s="91">
        <v>7.5574900013756796</v>
      </c>
      <c r="M82" s="12">
        <v>1243.3906525561176</v>
      </c>
      <c r="N82" s="11">
        <v>61.467925975766946</v>
      </c>
      <c r="O82" s="11">
        <v>2201.8206927232427</v>
      </c>
      <c r="P82" s="11">
        <v>44.111381300990224</v>
      </c>
      <c r="Q82" s="11">
        <v>0.95590268625132846</v>
      </c>
      <c r="R82" s="11">
        <v>0.60789372527420671</v>
      </c>
      <c r="S82" s="13">
        <v>18.876958154121493</v>
      </c>
      <c r="T82" s="14">
        <v>1029.2758001328352</v>
      </c>
      <c r="U82" s="91">
        <v>7.6019319004599879</v>
      </c>
      <c r="V82" s="12">
        <v>1170.9399871683486</v>
      </c>
      <c r="W82" s="11">
        <v>61.294756722831096</v>
      </c>
      <c r="X82" s="11">
        <v>2201.9111996854544</v>
      </c>
      <c r="Y82" s="11">
        <v>44.194043591714376</v>
      </c>
      <c r="Z82" s="11">
        <v>1.0588732747064149</v>
      </c>
      <c r="AA82" s="11">
        <v>0.6678165984627803</v>
      </c>
      <c r="AB82" s="13">
        <v>18.926671945501873</v>
      </c>
      <c r="AC82" s="14">
        <v>1027.119931816876</v>
      </c>
      <c r="AD82" s="15">
        <v>4</v>
      </c>
      <c r="AE82" s="9">
        <v>1.3059590385556235</v>
      </c>
      <c r="AF82" s="9">
        <v>6.0033566120583437</v>
      </c>
      <c r="AG82" s="9">
        <v>9.2557212928229475</v>
      </c>
      <c r="AH82" s="9">
        <v>13.97288826357245</v>
      </c>
      <c r="AI82" s="9">
        <v>8.7916440668623483</v>
      </c>
      <c r="AJ82" s="9">
        <v>2.4699769922366657</v>
      </c>
      <c r="AK82" s="9">
        <v>0.66787976227088808</v>
      </c>
      <c r="AL82" s="9">
        <v>1.5845745896215977</v>
      </c>
      <c r="AM82" s="9">
        <v>6.098620427474434</v>
      </c>
      <c r="AN82" s="9">
        <v>9.188436688383975</v>
      </c>
      <c r="AO82" s="9">
        <v>9.6942667679777141</v>
      </c>
      <c r="AP82" s="9">
        <v>6.3324584201160841</v>
      </c>
      <c r="AQ82" s="9">
        <v>6.1358723986516468</v>
      </c>
      <c r="AR82" s="9">
        <v>1.2811113115694073</v>
      </c>
      <c r="AS82" s="9">
        <v>6.0465554257033611</v>
      </c>
      <c r="AT82" s="9">
        <v>9.2993679611767419</v>
      </c>
      <c r="AU82" s="9">
        <v>14.065810990871579</v>
      </c>
      <c r="AV82" s="9">
        <v>8.8405693840537225</v>
      </c>
      <c r="AW82" s="9">
        <v>2.4650743433248414</v>
      </c>
      <c r="AX82" s="9">
        <v>0.65320672797286461</v>
      </c>
      <c r="AY82" s="9">
        <v>1.5984023335038311</v>
      </c>
      <c r="AZ82" s="9">
        <v>6.1372912854921013</v>
      </c>
      <c r="BA82" s="9">
        <v>9.2533648943288735</v>
      </c>
      <c r="BB82" s="9">
        <v>9.7555534541883446</v>
      </c>
      <c r="BC82" s="9">
        <v>6.3760756429299361</v>
      </c>
      <c r="BD82" s="9">
        <v>6.1758888649699966</v>
      </c>
    </row>
    <row r="83" spans="3:56" x14ac:dyDescent="0.25">
      <c r="C83" s="111">
        <v>33.240299999999998</v>
      </c>
      <c r="F83" s="111">
        <v>17.015000000000001</v>
      </c>
      <c r="G83" s="112">
        <v>3</v>
      </c>
      <c r="J83" s="111">
        <v>2227.61</v>
      </c>
      <c r="K83" s="111">
        <v>1999.55</v>
      </c>
      <c r="L83" s="91">
        <v>8.0579556916439454</v>
      </c>
      <c r="M83" s="12">
        <v>370.2353003381844</v>
      </c>
      <c r="N83" s="11">
        <v>13.189399601581627</v>
      </c>
      <c r="O83" s="11">
        <v>1822.6536732043949</v>
      </c>
      <c r="P83" s="11">
        <v>163.70692719402322</v>
      </c>
      <c r="Q83" s="11">
        <v>3.9518413093180174</v>
      </c>
      <c r="R83" s="11">
        <v>2.5414088675483577</v>
      </c>
      <c r="S83" s="13">
        <v>11.083590012371054</v>
      </c>
      <c r="T83" s="14">
        <v>1024.1747290640435</v>
      </c>
      <c r="U83" s="91">
        <v>8.2483508349425652</v>
      </c>
      <c r="V83" s="12">
        <v>220.28170166992876</v>
      </c>
      <c r="W83" s="11">
        <v>11.603180005998121</v>
      </c>
      <c r="X83" s="11">
        <v>1829.3281184917766</v>
      </c>
      <c r="Y83" s="11">
        <v>158.61870150222498</v>
      </c>
      <c r="Z83" s="11">
        <v>3.8219903838679001</v>
      </c>
      <c r="AA83" s="11">
        <v>2.4055232731590661</v>
      </c>
      <c r="AB83" s="13">
        <v>11.261588075316086</v>
      </c>
      <c r="AC83" s="14">
        <v>1026.2804017653295</v>
      </c>
      <c r="AD83" s="15">
        <v>4</v>
      </c>
      <c r="AE83" s="9">
        <v>1.4482527981423283</v>
      </c>
      <c r="AF83" s="9">
        <v>5.9174765628394042</v>
      </c>
      <c r="AG83" s="9">
        <v>9.1045927900015347</v>
      </c>
      <c r="AH83" s="9">
        <v>13.544628673515154</v>
      </c>
      <c r="AI83" s="9">
        <v>8.6928624632409512</v>
      </c>
      <c r="AJ83" s="9">
        <v>2.5763228421209137</v>
      </c>
      <c r="AK83" s="9">
        <v>0.88312951349076985</v>
      </c>
      <c r="AL83" s="9">
        <v>1.6027691427790851</v>
      </c>
      <c r="AM83" s="9">
        <v>6.0261453877122904</v>
      </c>
      <c r="AN83" s="9">
        <v>8.957862833787102</v>
      </c>
      <c r="AO83" s="9">
        <v>9.5206328128573574</v>
      </c>
      <c r="AP83" s="9">
        <v>6.3929494236714186</v>
      </c>
      <c r="AQ83" s="9">
        <v>6.2012244679344732</v>
      </c>
      <c r="AR83" s="9">
        <v>1.2784013930086462</v>
      </c>
      <c r="AS83" s="9">
        <v>6.0506362547254957</v>
      </c>
      <c r="AT83" s="9">
        <v>9.3102880545876889</v>
      </c>
      <c r="AU83" s="9">
        <v>14.072487561487687</v>
      </c>
      <c r="AV83" s="9">
        <v>8.8463585709014652</v>
      </c>
      <c r="AW83" s="9">
        <v>2.4735678637711978</v>
      </c>
      <c r="AX83" s="9">
        <v>0.66482596584397002</v>
      </c>
      <c r="AY83" s="9">
        <v>1.6010237776728617</v>
      </c>
      <c r="AZ83" s="9">
        <v>6.1422078464170902</v>
      </c>
      <c r="BA83" s="9">
        <v>9.2467827923621186</v>
      </c>
      <c r="BB83" s="9">
        <v>9.7579317432727599</v>
      </c>
      <c r="BC83" s="9">
        <v>6.3921521835317332</v>
      </c>
      <c r="BD83" s="9">
        <v>6.1910721565044922</v>
      </c>
    </row>
    <row r="84" spans="3:56" x14ac:dyDescent="0.25">
      <c r="C84" s="111">
        <v>33.244500000000002</v>
      </c>
      <c r="F84" s="111">
        <v>17.023</v>
      </c>
      <c r="G84" s="112">
        <v>25</v>
      </c>
      <c r="J84" s="111">
        <v>2225.9899999999998</v>
      </c>
      <c r="K84" s="111">
        <v>1999.02</v>
      </c>
      <c r="L84" s="91">
        <v>8.0550065247708709</v>
      </c>
      <c r="M84" s="12">
        <v>372.01882713063742</v>
      </c>
      <c r="N84" s="11">
        <v>13.249525281684313</v>
      </c>
      <c r="O84" s="11">
        <v>1822.8475669737263</v>
      </c>
      <c r="P84" s="11">
        <v>162.9229077445892</v>
      </c>
      <c r="Q84" s="11">
        <v>3.9186117147454289</v>
      </c>
      <c r="R84" s="11">
        <v>2.5207518421976616</v>
      </c>
      <c r="S84" s="13">
        <v>11.106761023696752</v>
      </c>
      <c r="T84" s="14">
        <v>1024.2732505477234</v>
      </c>
      <c r="U84" s="91">
        <v>8.2462576554681011</v>
      </c>
      <c r="V84" s="12">
        <v>221.36076984963034</v>
      </c>
      <c r="W84" s="11">
        <v>11.659730623831365</v>
      </c>
      <c r="X84" s="11">
        <v>1829.4755773421507</v>
      </c>
      <c r="Y84" s="11">
        <v>157.88469203401766</v>
      </c>
      <c r="Z84" s="11">
        <v>3.804220322807462</v>
      </c>
      <c r="AA84" s="11">
        <v>2.3943602063068328</v>
      </c>
      <c r="AB84" s="13">
        <v>11.285786323440036</v>
      </c>
      <c r="AC84" s="14">
        <v>1026.2837303976003</v>
      </c>
      <c r="AD84" s="15">
        <v>4</v>
      </c>
      <c r="AE84" s="9">
        <v>1.4483646010359872</v>
      </c>
      <c r="AF84" s="9">
        <v>5.9164564900330872</v>
      </c>
      <c r="AG84" s="9">
        <v>9.1037747251927819</v>
      </c>
      <c r="AH84" s="9">
        <v>13.543531771643547</v>
      </c>
      <c r="AI84" s="9">
        <v>8.6916528498626455</v>
      </c>
      <c r="AJ84" s="9">
        <v>2.575950510294692</v>
      </c>
      <c r="AK84" s="9">
        <v>0.88255159243942194</v>
      </c>
      <c r="AL84" s="9">
        <v>1.6022649211768123</v>
      </c>
      <c r="AM84" s="9">
        <v>6.0252270248731454</v>
      </c>
      <c r="AN84" s="9">
        <v>8.9567384645915844</v>
      </c>
      <c r="AO84" s="9">
        <v>9.5193880732101182</v>
      </c>
      <c r="AP84" s="9">
        <v>6.39131219298321</v>
      </c>
      <c r="AQ84" s="9">
        <v>6.1997100537565926</v>
      </c>
      <c r="AR84" s="9">
        <v>1.27841213954623</v>
      </c>
      <c r="AS84" s="9">
        <v>6.0506195562193286</v>
      </c>
      <c r="AT84" s="9">
        <v>9.310244247373042</v>
      </c>
      <c r="AU84" s="9">
        <v>14.072460644395973</v>
      </c>
      <c r="AV84" s="9">
        <v>8.8463352095065879</v>
      </c>
      <c r="AW84" s="9">
        <v>2.4735339299300914</v>
      </c>
      <c r="AX84" s="9">
        <v>0.66478081531771693</v>
      </c>
      <c r="AY84" s="9">
        <v>1.6010130015333259</v>
      </c>
      <c r="AZ84" s="9">
        <v>6.1421873853874196</v>
      </c>
      <c r="BA84" s="9">
        <v>9.2468053440589895</v>
      </c>
      <c r="BB84" s="9">
        <v>9.7579219850437031</v>
      </c>
      <c r="BC84" s="9">
        <v>6.3920877499949276</v>
      </c>
      <c r="BD84" s="9">
        <v>6.1910115746996963</v>
      </c>
    </row>
    <row r="85" spans="3:56" x14ac:dyDescent="0.25">
      <c r="C85" s="111">
        <v>33.376300000000001</v>
      </c>
      <c r="F85" s="111">
        <v>16.876999999999999</v>
      </c>
      <c r="G85" s="112">
        <v>51</v>
      </c>
      <c r="J85" s="111">
        <v>2232.83</v>
      </c>
      <c r="K85" s="111">
        <v>2002.97</v>
      </c>
      <c r="L85" s="91">
        <v>8.0595303383410037</v>
      </c>
      <c r="M85" s="12">
        <v>367.17487760929907</v>
      </c>
      <c r="N85" s="11">
        <v>13.123534992996847</v>
      </c>
      <c r="O85" s="11">
        <v>1825.1249942405784</v>
      </c>
      <c r="P85" s="11">
        <v>164.72147076642457</v>
      </c>
      <c r="Q85" s="11">
        <v>3.9408615678004812</v>
      </c>
      <c r="R85" s="11">
        <v>2.5356663013192993</v>
      </c>
      <c r="S85" s="13">
        <v>11.05127436420773</v>
      </c>
      <c r="T85" s="14">
        <v>1024.52343293075</v>
      </c>
      <c r="U85" s="91">
        <v>8.2495305212070811</v>
      </c>
      <c r="V85" s="12">
        <v>219.86378509656839</v>
      </c>
      <c r="W85" s="11">
        <v>11.571890733934218</v>
      </c>
      <c r="X85" s="11">
        <v>1831.6277647066343</v>
      </c>
      <c r="Y85" s="11">
        <v>159.77034455943121</v>
      </c>
      <c r="Z85" s="11">
        <v>3.8469898510915428</v>
      </c>
      <c r="AA85" s="11">
        <v>2.4219461712376811</v>
      </c>
      <c r="AB85" s="13">
        <v>11.224230975133018</v>
      </c>
      <c r="AC85" s="14">
        <v>1026.3881885865585</v>
      </c>
      <c r="AD85" s="15">
        <v>4</v>
      </c>
      <c r="AE85" s="9">
        <v>1.4468221251753035</v>
      </c>
      <c r="AF85" s="9">
        <v>5.9162885593444301</v>
      </c>
      <c r="AG85" s="9">
        <v>9.1040727395823211</v>
      </c>
      <c r="AH85" s="9">
        <v>13.547760328186801</v>
      </c>
      <c r="AI85" s="9">
        <v>8.6913795964117728</v>
      </c>
      <c r="AJ85" s="9">
        <v>2.5732115077756883</v>
      </c>
      <c r="AK85" s="9">
        <v>0.8781849242232489</v>
      </c>
      <c r="AL85" s="9">
        <v>1.6011512864749047</v>
      </c>
      <c r="AM85" s="9">
        <v>6.0247200530928833</v>
      </c>
      <c r="AN85" s="9">
        <v>8.9593339366528006</v>
      </c>
      <c r="AO85" s="9">
        <v>9.5204525892002643</v>
      </c>
      <c r="AP85" s="9">
        <v>6.3872846962724603</v>
      </c>
      <c r="AQ85" s="9">
        <v>6.1957856157333193</v>
      </c>
      <c r="AR85" s="9">
        <v>1.2787493761304132</v>
      </c>
      <c r="AS85" s="9">
        <v>6.0500976272804712</v>
      </c>
      <c r="AT85" s="9">
        <v>9.308871567569863</v>
      </c>
      <c r="AU85" s="9">
        <v>14.071617766216118</v>
      </c>
      <c r="AV85" s="9">
        <v>8.8456037529429654</v>
      </c>
      <c r="AW85" s="9">
        <v>2.4724700864927431</v>
      </c>
      <c r="AX85" s="9">
        <v>0.66336033003092687</v>
      </c>
      <c r="AY85" s="9">
        <v>1.6006763964681279</v>
      </c>
      <c r="AZ85" s="9">
        <v>6.1415492516729486</v>
      </c>
      <c r="BA85" s="9">
        <v>9.2475276001726847</v>
      </c>
      <c r="BB85" s="9">
        <v>9.7576171034241668</v>
      </c>
      <c r="BC85" s="9">
        <v>6.3900685969192246</v>
      </c>
      <c r="BD85" s="9">
        <v>6.1891120428803097</v>
      </c>
    </row>
    <row r="86" spans="3:56" x14ac:dyDescent="0.25">
      <c r="C86" s="111">
        <v>33.179400000000001</v>
      </c>
      <c r="F86" s="111">
        <v>11.252000000000001</v>
      </c>
      <c r="G86" s="112">
        <v>100</v>
      </c>
      <c r="J86" s="111">
        <v>2214.9499999999998</v>
      </c>
      <c r="K86" s="111">
        <v>2075.65</v>
      </c>
      <c r="L86" s="91">
        <v>7.9399406546899094</v>
      </c>
      <c r="M86" s="12">
        <v>494.53225970850656</v>
      </c>
      <c r="N86" s="11">
        <v>21.047939101347783</v>
      </c>
      <c r="O86" s="11">
        <v>1947.4777718655887</v>
      </c>
      <c r="P86" s="11">
        <v>107.1242890330635</v>
      </c>
      <c r="Q86" s="11">
        <v>2.5339110896639059</v>
      </c>
      <c r="R86" s="11">
        <v>1.6118121133546088</v>
      </c>
      <c r="S86" s="13">
        <v>14.156059927496884</v>
      </c>
      <c r="T86" s="14">
        <v>1025.7642752971428</v>
      </c>
      <c r="U86" s="91">
        <v>8.0416319527367186</v>
      </c>
      <c r="V86" s="12">
        <v>378.18342827764207</v>
      </c>
      <c r="W86" s="11">
        <v>19.927688515805311</v>
      </c>
      <c r="X86" s="11">
        <v>1950.7878160809289</v>
      </c>
      <c r="Y86" s="11">
        <v>104.93449540326596</v>
      </c>
      <c r="Z86" s="11">
        <v>2.5292513382407793</v>
      </c>
      <c r="AA86" s="11">
        <v>1.591680277597276</v>
      </c>
      <c r="AB86" s="13">
        <v>14.343772449816392</v>
      </c>
      <c r="AC86" s="14">
        <v>1026.2321371574596</v>
      </c>
      <c r="AD86" s="15">
        <v>4</v>
      </c>
      <c r="AE86" s="9">
        <v>1.3709850485669255</v>
      </c>
      <c r="AF86" s="9">
        <v>5.9736777237920125</v>
      </c>
      <c r="AG86" s="9">
        <v>9.199525211512487</v>
      </c>
      <c r="AH86" s="9">
        <v>13.787548258883152</v>
      </c>
      <c r="AI86" s="9">
        <v>8.7598430873464164</v>
      </c>
      <c r="AJ86" s="9">
        <v>2.5268076967655939</v>
      </c>
      <c r="AK86" s="9">
        <v>0.77965651442795603</v>
      </c>
      <c r="AL86" s="9">
        <v>1.5979574689850622</v>
      </c>
      <c r="AM86" s="9">
        <v>6.0743330076302327</v>
      </c>
      <c r="AN86" s="9">
        <v>9.0887028686321525</v>
      </c>
      <c r="AO86" s="9">
        <v>9.625167972214463</v>
      </c>
      <c r="AP86" s="9">
        <v>6.3849168099370166</v>
      </c>
      <c r="AQ86" s="9">
        <v>6.1884398530560034</v>
      </c>
      <c r="AR86" s="9">
        <v>1.2782455682136786</v>
      </c>
      <c r="AS86" s="9">
        <v>6.0508788445002777</v>
      </c>
      <c r="AT86" s="9">
        <v>9.3109237087416581</v>
      </c>
      <c r="AU86" s="9">
        <v>14.072878259904886</v>
      </c>
      <c r="AV86" s="9">
        <v>8.8466976758918872</v>
      </c>
      <c r="AW86" s="9">
        <v>2.474060133608825</v>
      </c>
      <c r="AX86" s="9">
        <v>0.66547985437941448</v>
      </c>
      <c r="AY86" s="9">
        <v>1.6011803778592388</v>
      </c>
      <c r="AZ86" s="9">
        <v>6.1425054082332569</v>
      </c>
      <c r="BA86" s="9">
        <v>9.2464590231978896</v>
      </c>
      <c r="BB86" s="9">
        <v>9.7580735350750807</v>
      </c>
      <c r="BC86" s="9">
        <v>6.3930871003014307</v>
      </c>
      <c r="BD86" s="9">
        <v>6.1919509468447735</v>
      </c>
    </row>
    <row r="87" spans="3:56" x14ac:dyDescent="0.25">
      <c r="C87" s="111">
        <v>33.757399999999997</v>
      </c>
      <c r="F87" s="111">
        <v>9.2799999999999994</v>
      </c>
      <c r="G87" s="112">
        <v>170</v>
      </c>
      <c r="J87" s="111">
        <v>2240.85</v>
      </c>
      <c r="K87" s="111">
        <v>2162.69</v>
      </c>
      <c r="L87" s="91">
        <v>7.7812400712080851</v>
      </c>
      <c r="M87" s="12">
        <v>734.84075095976789</v>
      </c>
      <c r="N87" s="11">
        <v>33.262849087977152</v>
      </c>
      <c r="O87" s="11">
        <v>2055.4904783906109</v>
      </c>
      <c r="P87" s="11">
        <v>73.936672521411865</v>
      </c>
      <c r="Q87" s="11">
        <v>1.7191490267606104</v>
      </c>
      <c r="R87" s="11">
        <v>1.0920131351320195</v>
      </c>
      <c r="S87" s="13">
        <v>16.957875209447053</v>
      </c>
      <c r="T87" s="14">
        <v>1026.8725045511483</v>
      </c>
      <c r="U87" s="91">
        <v>7.8529477961960561</v>
      </c>
      <c r="V87" s="12">
        <v>614.85774615384253</v>
      </c>
      <c r="W87" s="11">
        <v>32.288669694803488</v>
      </c>
      <c r="X87" s="11">
        <v>2057.7221677744301</v>
      </c>
      <c r="Y87" s="11">
        <v>72.679162530766291</v>
      </c>
      <c r="Z87" s="11">
        <v>1.7464557253157129</v>
      </c>
      <c r="AA87" s="11">
        <v>1.1003561360775203</v>
      </c>
      <c r="AB87" s="13">
        <v>17.187886005177756</v>
      </c>
      <c r="AC87" s="14">
        <v>1026.6902575279296</v>
      </c>
      <c r="AD87" s="15">
        <v>4</v>
      </c>
      <c r="AE87" s="9">
        <v>1.3442337868878262</v>
      </c>
      <c r="AF87" s="9">
        <v>5.9902840472916337</v>
      </c>
      <c r="AG87" s="9">
        <v>9.2252956390583947</v>
      </c>
      <c r="AH87" s="9">
        <v>13.868292636687546</v>
      </c>
      <c r="AI87" s="9">
        <v>8.7781632114726715</v>
      </c>
      <c r="AJ87" s="9">
        <v>2.5039138076392633</v>
      </c>
      <c r="AK87" s="9">
        <v>0.73560913212655965</v>
      </c>
      <c r="AL87" s="9">
        <v>1.5943950076655149</v>
      </c>
      <c r="AM87" s="9">
        <v>6.0878239775887746</v>
      </c>
      <c r="AN87" s="9">
        <v>9.1357130810356573</v>
      </c>
      <c r="AO87" s="9">
        <v>9.6593372813489182</v>
      </c>
      <c r="AP87" s="9">
        <v>6.3699665529261749</v>
      </c>
      <c r="AQ87" s="9">
        <v>6.1728808894546594</v>
      </c>
      <c r="AR87" s="9">
        <v>1.2797244964811885</v>
      </c>
      <c r="AS87" s="9">
        <v>6.0486112122439089</v>
      </c>
      <c r="AT87" s="9">
        <v>9.3049246180740912</v>
      </c>
      <c r="AU87" s="9">
        <v>14.069200122225764</v>
      </c>
      <c r="AV87" s="9">
        <v>8.8435066139727159</v>
      </c>
      <c r="AW87" s="9">
        <v>2.4694051531437871</v>
      </c>
      <c r="AX87" s="9">
        <v>0.65921272091258087</v>
      </c>
      <c r="AY87" s="9">
        <v>1.5997199875905557</v>
      </c>
      <c r="AZ87" s="9">
        <v>6.1397468600648502</v>
      </c>
      <c r="BA87" s="9">
        <v>9.24977358250338</v>
      </c>
      <c r="BB87" s="9">
        <v>9.7567500442801833</v>
      </c>
      <c r="BC87" s="9">
        <v>6.3842605945760118</v>
      </c>
      <c r="BD87" s="9">
        <v>6.1836362839468269</v>
      </c>
    </row>
    <row r="88" spans="3:56" x14ac:dyDescent="0.25">
      <c r="C88" s="111">
        <v>33.996699999999997</v>
      </c>
      <c r="F88" s="111">
        <v>8.2439999999999998</v>
      </c>
      <c r="G88" s="112">
        <v>231</v>
      </c>
      <c r="J88" s="111">
        <v>2262.44</v>
      </c>
      <c r="K88" s="111">
        <v>2196.12</v>
      </c>
      <c r="L88" s="91">
        <v>7.7528852208343393</v>
      </c>
      <c r="M88" s="12">
        <v>786.28097539123223</v>
      </c>
      <c r="N88" s="11">
        <v>36.80711182128578</v>
      </c>
      <c r="O88" s="11">
        <v>2091.0287775926863</v>
      </c>
      <c r="P88" s="11">
        <v>68.284110586027566</v>
      </c>
      <c r="Q88" s="11">
        <v>1.5667683219629567</v>
      </c>
      <c r="R88" s="11">
        <v>0.99476783498964205</v>
      </c>
      <c r="S88" s="13">
        <v>17.529353544301365</v>
      </c>
      <c r="T88" s="14">
        <v>1027.502191028949</v>
      </c>
      <c r="U88" s="91">
        <v>7.8110174959108178</v>
      </c>
      <c r="V88" s="12">
        <v>688.15952797026682</v>
      </c>
      <c r="W88" s="11">
        <v>36.087129165259455</v>
      </c>
      <c r="X88" s="11">
        <v>2092.5444733188051</v>
      </c>
      <c r="Y88" s="11">
        <v>67.488397515935148</v>
      </c>
      <c r="Z88" s="11">
        <v>1.6196460834802886</v>
      </c>
      <c r="AA88" s="11">
        <v>1.0209255227508716</v>
      </c>
      <c r="AB88" s="13">
        <v>17.709072707766559</v>
      </c>
      <c r="AC88" s="14">
        <v>1026.8799537516466</v>
      </c>
      <c r="AD88" s="15">
        <v>4</v>
      </c>
      <c r="AE88" s="9">
        <v>1.3296460271551149</v>
      </c>
      <c r="AF88" s="9">
        <v>5.9984569516220754</v>
      </c>
      <c r="AG88" s="9">
        <v>9.2389255736207261</v>
      </c>
      <c r="AH88" s="9">
        <v>13.910984847235644</v>
      </c>
      <c r="AI88" s="9">
        <v>8.7870421310640392</v>
      </c>
      <c r="AJ88" s="9">
        <v>2.4918768536260472</v>
      </c>
      <c r="AK88" s="9">
        <v>0.71170960073651679</v>
      </c>
      <c r="AL88" s="9">
        <v>1.5922805009196526</v>
      </c>
      <c r="AM88" s="9">
        <v>6.0946697402694126</v>
      </c>
      <c r="AN88" s="9">
        <v>9.1595570889919689</v>
      </c>
      <c r="AO88" s="9">
        <v>9.67653270372268</v>
      </c>
      <c r="AP88" s="9">
        <v>6.3611302807086192</v>
      </c>
      <c r="AQ88" s="9">
        <v>6.1638472328843799</v>
      </c>
      <c r="AR88" s="9">
        <v>1.280336793253533</v>
      </c>
      <c r="AS88" s="9">
        <v>6.0476951330497091</v>
      </c>
      <c r="AT88" s="9">
        <v>9.3024630767115006</v>
      </c>
      <c r="AU88" s="9">
        <v>14.067696713307143</v>
      </c>
      <c r="AV88" s="9">
        <v>8.8422032628503331</v>
      </c>
      <c r="AW88" s="9">
        <v>2.4674890100983737</v>
      </c>
      <c r="AX88" s="9">
        <v>0.65657688107917744</v>
      </c>
      <c r="AY88" s="9">
        <v>1.5991321223146524</v>
      </c>
      <c r="AZ88" s="9">
        <v>6.1386472298316592</v>
      </c>
      <c r="BA88" s="9">
        <v>9.2513022299088234</v>
      </c>
      <c r="BB88" s="9">
        <v>9.7562164936465638</v>
      </c>
      <c r="BC88" s="9">
        <v>6.3806361646784486</v>
      </c>
      <c r="BD88" s="9">
        <v>6.1802101006569554</v>
      </c>
    </row>
    <row r="89" spans="3:56" x14ac:dyDescent="0.25">
      <c r="C89" s="111">
        <v>34.0931</v>
      </c>
      <c r="F89" s="111">
        <v>7.3929999999999998</v>
      </c>
      <c r="G89" s="112">
        <v>320</v>
      </c>
      <c r="J89" s="111">
        <v>2278.04</v>
      </c>
      <c r="K89" s="111">
        <v>2245.29</v>
      </c>
      <c r="L89" s="91">
        <v>7.6488832300033449</v>
      </c>
      <c r="M89" s="12">
        <v>1007.577815134111</v>
      </c>
      <c r="N89" s="11">
        <v>48.536117760429335</v>
      </c>
      <c r="O89" s="11">
        <v>2143.0679065823588</v>
      </c>
      <c r="P89" s="11">
        <v>53.685975657211813</v>
      </c>
      <c r="Q89" s="11">
        <v>1.209934455429003</v>
      </c>
      <c r="R89" s="11">
        <v>0.7681938140100808</v>
      </c>
      <c r="S89" s="13">
        <v>18.607524248135594</v>
      </c>
      <c r="T89" s="14">
        <v>1028.1119241278959</v>
      </c>
      <c r="U89" s="91">
        <v>7.6969885700931506</v>
      </c>
      <c r="V89" s="12">
        <v>916.51669815663763</v>
      </c>
      <c r="W89" s="11">
        <v>48.034904319480113</v>
      </c>
      <c r="X89" s="11">
        <v>2143.9548664243457</v>
      </c>
      <c r="Y89" s="11">
        <v>53.300229256174035</v>
      </c>
      <c r="Z89" s="11">
        <v>1.2784817768956958</v>
      </c>
      <c r="AA89" s="11">
        <v>0.80602047776995567</v>
      </c>
      <c r="AB89" s="13">
        <v>18.748287329808985</v>
      </c>
      <c r="AC89" s="14">
        <v>1026.9563759766986</v>
      </c>
      <c r="AD89" s="15">
        <v>4</v>
      </c>
      <c r="AE89" s="9">
        <v>1.3172135609865399</v>
      </c>
      <c r="AF89" s="9">
        <v>6.0039123330598017</v>
      </c>
      <c r="AG89" s="9">
        <v>9.2500583124594211</v>
      </c>
      <c r="AH89" s="9">
        <v>13.945659524174205</v>
      </c>
      <c r="AI89" s="9">
        <v>8.7928986200173593</v>
      </c>
      <c r="AJ89" s="9">
        <v>2.4820339192371605</v>
      </c>
      <c r="AK89" s="9">
        <v>0.69154768139338674</v>
      </c>
      <c r="AL89" s="9">
        <v>1.5898976111181922</v>
      </c>
      <c r="AM89" s="9">
        <v>6.0993699191653832</v>
      </c>
      <c r="AN89" s="9">
        <v>9.1769532255268675</v>
      </c>
      <c r="AO89" s="9">
        <v>9.6890007272032364</v>
      </c>
      <c r="AP89" s="9">
        <v>6.3521164204067793</v>
      </c>
      <c r="AQ89" s="9">
        <v>6.1548253816795553</v>
      </c>
      <c r="AR89" s="9">
        <v>1.2805834518780801</v>
      </c>
      <c r="AS89" s="9">
        <v>6.0473298615179374</v>
      </c>
      <c r="AT89" s="9">
        <v>9.3014751316095694</v>
      </c>
      <c r="AU89" s="9">
        <v>14.067094242927483</v>
      </c>
      <c r="AV89" s="9">
        <v>8.8416811395094861</v>
      </c>
      <c r="AW89" s="9">
        <v>2.4667189160978835</v>
      </c>
      <c r="AX89" s="9">
        <v>0.65550801104226442</v>
      </c>
      <c r="AY89" s="9">
        <v>1.598898040978501</v>
      </c>
      <c r="AZ89" s="9">
        <v>6.1382111818643539</v>
      </c>
      <c r="BA89" s="9">
        <v>9.2519435585646619</v>
      </c>
      <c r="BB89" s="9">
        <v>9.7560039058332038</v>
      </c>
      <c r="BC89" s="9">
        <v>6.3791808912554595</v>
      </c>
      <c r="BD89" s="9">
        <v>6.1788324247934083</v>
      </c>
    </row>
    <row r="90" spans="3:56" x14ac:dyDescent="0.25">
      <c r="C90" s="111">
        <v>34.306600000000003</v>
      </c>
      <c r="F90" s="111">
        <v>6.46</v>
      </c>
      <c r="G90" s="112">
        <v>516</v>
      </c>
      <c r="J90" s="111">
        <v>2314.27</v>
      </c>
      <c r="K90" s="111">
        <v>2307.46</v>
      </c>
      <c r="L90" s="91">
        <v>7.5641907342442147</v>
      </c>
      <c r="M90" s="12">
        <v>1222.8900578728044</v>
      </c>
      <c r="N90" s="11">
        <v>60.776864386186787</v>
      </c>
      <c r="O90" s="11">
        <v>2202.1431833106626</v>
      </c>
      <c r="P90" s="11">
        <v>44.539952303150294</v>
      </c>
      <c r="Q90" s="11">
        <v>0.9648023272767563</v>
      </c>
      <c r="R90" s="11">
        <v>0.61344210493027351</v>
      </c>
      <c r="S90" s="13">
        <v>18.899566382445958</v>
      </c>
      <c r="T90" s="14">
        <v>1029.3080319306421</v>
      </c>
      <c r="U90" s="91">
        <v>7.6065307589919859</v>
      </c>
      <c r="V90" s="12">
        <v>1158.6997200143626</v>
      </c>
      <c r="W90" s="11">
        <v>60.65144717495069</v>
      </c>
      <c r="X90" s="11">
        <v>2202.1320144257734</v>
      </c>
      <c r="Y90" s="11">
        <v>44.67653839927582</v>
      </c>
      <c r="Z90" s="11">
        <v>1.0703917813835819</v>
      </c>
      <c r="AA90" s="11">
        <v>0.67508976422171108</v>
      </c>
      <c r="AB90" s="13">
        <v>18.935718836484892</v>
      </c>
      <c r="AC90" s="14">
        <v>1027.1256402437375</v>
      </c>
      <c r="AD90" s="15">
        <v>4</v>
      </c>
      <c r="AE90" s="9">
        <v>1.3036491240841921</v>
      </c>
      <c r="AF90" s="9">
        <v>6.0050834709731227</v>
      </c>
      <c r="AG90" s="9">
        <v>9.2582865399955843</v>
      </c>
      <c r="AH90" s="9">
        <v>13.979796591218866</v>
      </c>
      <c r="AI90" s="9">
        <v>8.7935500186448969</v>
      </c>
      <c r="AJ90" s="9">
        <v>2.4685489833895837</v>
      </c>
      <c r="AK90" s="9">
        <v>0.66478193549799647</v>
      </c>
      <c r="AL90" s="9">
        <v>1.5845609571913621</v>
      </c>
      <c r="AM90" s="9">
        <v>6.1001545813446274</v>
      </c>
      <c r="AN90" s="9">
        <v>9.1922343834100921</v>
      </c>
      <c r="AO90" s="9">
        <v>9.6973540034406636</v>
      </c>
      <c r="AP90" s="9">
        <v>6.3321928344143164</v>
      </c>
      <c r="AQ90" s="9">
        <v>6.1355280734344246</v>
      </c>
      <c r="AR90" s="9">
        <v>1.2811297342052654</v>
      </c>
      <c r="AS90" s="9">
        <v>6.0465285761074581</v>
      </c>
      <c r="AT90" s="9">
        <v>9.2992945936912381</v>
      </c>
      <c r="AU90" s="9">
        <v>14.065766353053613</v>
      </c>
      <c r="AV90" s="9">
        <v>8.840530720828438</v>
      </c>
      <c r="AW90" s="9">
        <v>2.4650170314770365</v>
      </c>
      <c r="AX90" s="9">
        <v>0.65312606694644337</v>
      </c>
      <c r="AY90" s="9">
        <v>1.5983851613143565</v>
      </c>
      <c r="AZ90" s="9">
        <v>6.1372595055681147</v>
      </c>
      <c r="BA90" s="9">
        <v>9.2534156972838808</v>
      </c>
      <c r="BB90" s="9">
        <v>9.7555378432794466</v>
      </c>
      <c r="BC90" s="9">
        <v>6.3759674895029965</v>
      </c>
      <c r="BD90" s="9">
        <v>6.1757862468621774</v>
      </c>
    </row>
    <row r="91" spans="3:56" x14ac:dyDescent="0.25">
      <c r="C91" s="111">
        <v>33.264400000000002</v>
      </c>
      <c r="F91" s="111">
        <v>16.588999999999999</v>
      </c>
      <c r="G91" s="112">
        <v>2</v>
      </c>
      <c r="J91" s="111">
        <v>2226.8000000000002</v>
      </c>
      <c r="K91" s="111">
        <v>2001.52</v>
      </c>
      <c r="L91" s="91">
        <v>8.0586681746126239</v>
      </c>
      <c r="M91" s="12">
        <v>369.38254353048671</v>
      </c>
      <c r="N91" s="11">
        <v>13.32304956454662</v>
      </c>
      <c r="O91" s="11">
        <v>1826.4579769215302</v>
      </c>
      <c r="P91" s="11">
        <v>161.73897351392276</v>
      </c>
      <c r="Q91" s="11">
        <v>3.9029197476472772</v>
      </c>
      <c r="R91" s="11">
        <v>2.5075763185401074</v>
      </c>
      <c r="S91" s="13">
        <v>11.159783177869215</v>
      </c>
      <c r="T91" s="14">
        <v>1024.2880610795196</v>
      </c>
      <c r="U91" s="91">
        <v>8.2423503909209668</v>
      </c>
      <c r="V91" s="12">
        <v>223.76450437084318</v>
      </c>
      <c r="W91" s="11">
        <v>11.784960687039693</v>
      </c>
      <c r="X91" s="11">
        <v>1832.8968975667046</v>
      </c>
      <c r="Y91" s="11">
        <v>156.83814174625536</v>
      </c>
      <c r="Z91" s="11">
        <v>3.7786093745496623</v>
      </c>
      <c r="AA91" s="11">
        <v>2.3783405408092699</v>
      </c>
      <c r="AB91" s="13">
        <v>11.333899794461784</v>
      </c>
      <c r="AC91" s="14">
        <v>1026.2995018421302</v>
      </c>
      <c r="AD91" s="15">
        <v>4</v>
      </c>
      <c r="AE91" s="9">
        <v>1.4428727239148578</v>
      </c>
      <c r="AF91" s="9">
        <v>5.9216621337444879</v>
      </c>
      <c r="AG91" s="9">
        <v>9.1114631765365015</v>
      </c>
      <c r="AH91" s="9">
        <v>13.562219910093772</v>
      </c>
      <c r="AI91" s="9">
        <v>8.6979635609852455</v>
      </c>
      <c r="AJ91" s="9">
        <v>2.572647132369219</v>
      </c>
      <c r="AK91" s="9">
        <v>0.87573105805453155</v>
      </c>
      <c r="AL91" s="9">
        <v>1.6024143246388829</v>
      </c>
      <c r="AM91" s="9">
        <v>6.0296304232714846</v>
      </c>
      <c r="AN91" s="9">
        <v>8.967799811862486</v>
      </c>
      <c r="AO91" s="9">
        <v>9.5284445653245733</v>
      </c>
      <c r="AP91" s="9">
        <v>6.3924771630071877</v>
      </c>
      <c r="AQ91" s="9">
        <v>6.2003417013797195</v>
      </c>
      <c r="AR91" s="9">
        <v>1.2784630576647829</v>
      </c>
      <c r="AS91" s="9">
        <v>6.0505404929239548</v>
      </c>
      <c r="AT91" s="9">
        <v>9.3100367389963363</v>
      </c>
      <c r="AU91" s="9">
        <v>14.072333157048355</v>
      </c>
      <c r="AV91" s="9">
        <v>8.8462245650842419</v>
      </c>
      <c r="AW91" s="9">
        <v>2.4733731758411421</v>
      </c>
      <c r="AX91" s="9">
        <v>0.6645667914343989</v>
      </c>
      <c r="AY91" s="9">
        <v>1.6009619849791668</v>
      </c>
      <c r="AZ91" s="9">
        <v>6.1420905450200571</v>
      </c>
      <c r="BA91" s="9">
        <v>9.2469125864281487</v>
      </c>
      <c r="BB91" s="9">
        <v>9.7578757855637104</v>
      </c>
      <c r="BC91" s="9">
        <v>6.3917825338226981</v>
      </c>
      <c r="BD91" s="9">
        <v>6.1907245749695976</v>
      </c>
    </row>
    <row r="92" spans="3:56" x14ac:dyDescent="0.25">
      <c r="C92" s="111">
        <v>33.256700000000002</v>
      </c>
      <c r="F92" s="111">
        <v>16.475999999999999</v>
      </c>
      <c r="G92" s="112">
        <v>30</v>
      </c>
      <c r="J92" s="111">
        <v>2225.85</v>
      </c>
      <c r="K92" s="111">
        <v>2001.06</v>
      </c>
      <c r="L92" s="91">
        <v>8.0586449555151169</v>
      </c>
      <c r="M92" s="12">
        <v>368.13345560208165</v>
      </c>
      <c r="N92" s="11">
        <v>13.322950786019243</v>
      </c>
      <c r="O92" s="11">
        <v>1826.4353219483185</v>
      </c>
      <c r="P92" s="11">
        <v>161.30172726566215</v>
      </c>
      <c r="Q92" s="11">
        <v>3.8741411198576698</v>
      </c>
      <c r="R92" s="11">
        <v>2.4892133043387021</v>
      </c>
      <c r="S92" s="13">
        <v>11.172525502159024</v>
      </c>
      <c r="T92" s="14">
        <v>1024.4321060526165</v>
      </c>
      <c r="U92" s="91">
        <v>8.2415610672477495</v>
      </c>
      <c r="V92" s="12">
        <v>224.15829862373002</v>
      </c>
      <c r="W92" s="11">
        <v>11.806236154342177</v>
      </c>
      <c r="X92" s="11">
        <v>1832.7425334567395</v>
      </c>
      <c r="Y92" s="11">
        <v>156.51123038891808</v>
      </c>
      <c r="Z92" s="11">
        <v>3.7708856036173288</v>
      </c>
      <c r="AA92" s="11">
        <v>2.3734405427698047</v>
      </c>
      <c r="AB92" s="13">
        <v>11.344647244281532</v>
      </c>
      <c r="AC92" s="14">
        <v>1026.2933993101058</v>
      </c>
      <c r="AD92" s="15">
        <v>4</v>
      </c>
      <c r="AE92" s="9">
        <v>1.4414048638454395</v>
      </c>
      <c r="AF92" s="9">
        <v>5.9216410816531919</v>
      </c>
      <c r="AG92" s="9">
        <v>9.112610235057014</v>
      </c>
      <c r="AH92" s="9">
        <v>13.566056060886805</v>
      </c>
      <c r="AI92" s="9">
        <v>8.6979985396677684</v>
      </c>
      <c r="AJ92" s="9">
        <v>2.5712653376899963</v>
      </c>
      <c r="AK92" s="9">
        <v>0.87300376358372378</v>
      </c>
      <c r="AL92" s="9">
        <v>1.6017257139969967</v>
      </c>
      <c r="AM92" s="9">
        <v>6.0295744297994958</v>
      </c>
      <c r="AN92" s="9">
        <v>8.9691766458088988</v>
      </c>
      <c r="AO92" s="9">
        <v>9.5291559572997002</v>
      </c>
      <c r="AP92" s="9">
        <v>6.3905391840814731</v>
      </c>
      <c r="AQ92" s="9">
        <v>6.1984258612896577</v>
      </c>
      <c r="AR92" s="9">
        <v>1.2784433556792123</v>
      </c>
      <c r="AS92" s="9">
        <v>6.0505710743211711</v>
      </c>
      <c r="AT92" s="9">
        <v>9.3101170205309653</v>
      </c>
      <c r="AU92" s="9">
        <v>14.072382476846215</v>
      </c>
      <c r="AV92" s="9">
        <v>8.8462673686124855</v>
      </c>
      <c r="AW92" s="9">
        <v>2.4734353717512025</v>
      </c>
      <c r="AX92" s="9">
        <v>0.66464962358865398</v>
      </c>
      <c r="AY92" s="9">
        <v>1.6009817168631406</v>
      </c>
      <c r="AZ92" s="9">
        <v>6.1421279951700463</v>
      </c>
      <c r="BA92" s="9">
        <v>9.2468710142092601</v>
      </c>
      <c r="BB92" s="9">
        <v>9.7578936547066917</v>
      </c>
      <c r="BC92" s="9">
        <v>6.3919006176517872</v>
      </c>
      <c r="BD92" s="9">
        <v>6.1908356167741241</v>
      </c>
    </row>
    <row r="93" spans="3:56" x14ac:dyDescent="0.25">
      <c r="C93" s="111">
        <v>33.136499999999998</v>
      </c>
      <c r="F93" s="111">
        <v>12.351000000000001</v>
      </c>
      <c r="G93" s="112">
        <v>50</v>
      </c>
      <c r="J93" s="111">
        <v>2214.17</v>
      </c>
      <c r="K93" s="111">
        <v>2046.38</v>
      </c>
      <c r="L93" s="91">
        <v>7.9975895692801826</v>
      </c>
      <c r="M93" s="12">
        <v>428.99850005393409</v>
      </c>
      <c r="N93" s="11">
        <v>17.630643655072333</v>
      </c>
      <c r="O93" s="11">
        <v>1904.4043079486785</v>
      </c>
      <c r="P93" s="11">
        <v>124.34504839624921</v>
      </c>
      <c r="Q93" s="11">
        <v>2.970101100776064</v>
      </c>
      <c r="R93" s="11">
        <v>1.8918577529169394</v>
      </c>
      <c r="S93" s="13">
        <v>13.006484124635723</v>
      </c>
      <c r="T93" s="14">
        <v>1025.3007045912957</v>
      </c>
      <c r="U93" s="91">
        <v>8.1154486458705808</v>
      </c>
      <c r="V93" s="12">
        <v>312.17797002994121</v>
      </c>
      <c r="W93" s="11">
        <v>16.453809024109951</v>
      </c>
      <c r="X93" s="11">
        <v>1908.3799581310259</v>
      </c>
      <c r="Y93" s="11">
        <v>121.54623284486415</v>
      </c>
      <c r="Z93" s="11">
        <v>2.9303035878580719</v>
      </c>
      <c r="AA93" s="11">
        <v>1.843896821803559</v>
      </c>
      <c r="AB93" s="13">
        <v>13.175862891281529</v>
      </c>
      <c r="AC93" s="14">
        <v>1026.1981385791578</v>
      </c>
      <c r="AD93" s="15">
        <v>4</v>
      </c>
      <c r="AE93" s="9">
        <v>1.3861876060228235</v>
      </c>
      <c r="AF93" s="9">
        <v>5.9640985817617036</v>
      </c>
      <c r="AG93" s="9">
        <v>9.1827202287986953</v>
      </c>
      <c r="AH93" s="9">
        <v>13.741714097347382</v>
      </c>
      <c r="AI93" s="9">
        <v>8.7487719657823213</v>
      </c>
      <c r="AJ93" s="9">
        <v>2.5374186367432494</v>
      </c>
      <c r="AK93" s="9">
        <v>0.80141638370545232</v>
      </c>
      <c r="AL93" s="9">
        <v>1.5995745302688069</v>
      </c>
      <c r="AM93" s="9">
        <v>6.0661621962631394</v>
      </c>
      <c r="AN93" s="9">
        <v>9.0645984134107582</v>
      </c>
      <c r="AO93" s="9">
        <v>9.6063989312516611</v>
      </c>
      <c r="AP93" s="9">
        <v>6.3897180208394575</v>
      </c>
      <c r="AQ93" s="9">
        <v>6.1938352671825516</v>
      </c>
      <c r="AR93" s="9">
        <v>1.2781358000083562</v>
      </c>
      <c r="AS93" s="9">
        <v>6.0510502511696433</v>
      </c>
      <c r="AT93" s="9">
        <v>9.3113719897673572</v>
      </c>
      <c r="AU93" s="9">
        <v>14.073153931628861</v>
      </c>
      <c r="AV93" s="9">
        <v>8.8469369629127002</v>
      </c>
      <c r="AW93" s="9">
        <v>2.4744071627797677</v>
      </c>
      <c r="AX93" s="9">
        <v>0.66593958733365444</v>
      </c>
      <c r="AY93" s="9">
        <v>1.6012910817189974</v>
      </c>
      <c r="AZ93" s="9">
        <v>6.1427160072643199</v>
      </c>
      <c r="BA93" s="9">
        <v>9.2462345836849948</v>
      </c>
      <c r="BB93" s="9">
        <v>9.7581737526584966</v>
      </c>
      <c r="BC93" s="9">
        <v>6.3937463976024747</v>
      </c>
      <c r="BD93" s="9">
        <v>6.1925703965182306</v>
      </c>
    </row>
    <row r="94" spans="3:56" x14ac:dyDescent="0.25">
      <c r="C94" s="111">
        <v>33.561999999999998</v>
      </c>
      <c r="F94" s="111">
        <v>9.6720000000000006</v>
      </c>
      <c r="G94" s="112">
        <v>100</v>
      </c>
      <c r="J94" s="111">
        <v>2230.98</v>
      </c>
      <c r="K94" s="111">
        <v>2144.11</v>
      </c>
      <c r="L94" s="91">
        <v>7.807984254017974</v>
      </c>
      <c r="M94" s="12">
        <v>691.38876867737349</v>
      </c>
      <c r="N94" s="11">
        <v>30.924236815751826</v>
      </c>
      <c r="O94" s="11">
        <v>2034.8638779493733</v>
      </c>
      <c r="P94" s="11">
        <v>78.321885234874628</v>
      </c>
      <c r="Q94" s="11">
        <v>1.8472910292965052</v>
      </c>
      <c r="R94" s="11">
        <v>1.1727421347765152</v>
      </c>
      <c r="S94" s="13">
        <v>16.550762743740819</v>
      </c>
      <c r="T94" s="14">
        <v>1026.3378007065783</v>
      </c>
      <c r="U94" s="91">
        <v>7.8832979874283593</v>
      </c>
      <c r="V94" s="12">
        <v>568.03986331797876</v>
      </c>
      <c r="W94" s="11">
        <v>29.864433956078791</v>
      </c>
      <c r="X94" s="11">
        <v>2037.4321751267544</v>
      </c>
      <c r="Y94" s="11">
        <v>76.813390917166771</v>
      </c>
      <c r="Z94" s="11">
        <v>1.8477183812940119</v>
      </c>
      <c r="AA94" s="11">
        <v>1.1637070156775038</v>
      </c>
      <c r="AB94" s="13">
        <v>16.790142384085236</v>
      </c>
      <c r="AC94" s="14">
        <v>1026.5353736421077</v>
      </c>
      <c r="AD94" s="15">
        <v>4</v>
      </c>
      <c r="AE94" s="9">
        <v>1.349423329921128</v>
      </c>
      <c r="AF94" s="9">
        <v>5.9897478819880252</v>
      </c>
      <c r="AG94" s="9">
        <v>9.2226364839181532</v>
      </c>
      <c r="AH94" s="9">
        <v>13.85461217163194</v>
      </c>
      <c r="AI94" s="9">
        <v>8.7778489666003772</v>
      </c>
      <c r="AJ94" s="9">
        <v>2.5101544778236162</v>
      </c>
      <c r="AK94" s="9">
        <v>0.74708264330194429</v>
      </c>
      <c r="AL94" s="9">
        <v>1.5966682365397304</v>
      </c>
      <c r="AM94" s="9">
        <v>6.0877031331565581</v>
      </c>
      <c r="AN94" s="9">
        <v>9.1284253666063471</v>
      </c>
      <c r="AO94" s="9">
        <v>9.6555715036009513</v>
      </c>
      <c r="AP94" s="9">
        <v>6.3786862741609207</v>
      </c>
      <c r="AQ94" s="9">
        <v>6.181353481864666</v>
      </c>
      <c r="AR94" s="9">
        <v>1.2792245266135911</v>
      </c>
      <c r="AS94" s="9">
        <v>6.0493691148127597</v>
      </c>
      <c r="AT94" s="9">
        <v>9.3069442102752209</v>
      </c>
      <c r="AU94" s="9">
        <v>14.070436101722397</v>
      </c>
      <c r="AV94" s="9">
        <v>8.8445785644498827</v>
      </c>
      <c r="AW94" s="9">
        <v>2.4709745613548573</v>
      </c>
      <c r="AX94" s="9">
        <v>0.66134687745165943</v>
      </c>
      <c r="AY94" s="9">
        <v>1.6002072438737671</v>
      </c>
      <c r="AZ94" s="9">
        <v>6.1406630909348454</v>
      </c>
      <c r="BA94" s="9">
        <v>9.2485928946107769</v>
      </c>
      <c r="BB94" s="9">
        <v>9.7571919284171233</v>
      </c>
      <c r="BC94" s="9">
        <v>6.3872329272858535</v>
      </c>
      <c r="BD94" s="9">
        <v>6.1864408006204856</v>
      </c>
    </row>
    <row r="95" spans="3:56" x14ac:dyDescent="0.25">
      <c r="C95" s="111">
        <v>33.8917</v>
      </c>
      <c r="F95" s="111">
        <v>8.702</v>
      </c>
      <c r="G95" s="112">
        <v>171</v>
      </c>
      <c r="J95" s="111">
        <v>2250.8200000000002</v>
      </c>
      <c r="K95" s="111">
        <v>2178.7199999999998</v>
      </c>
      <c r="L95" s="91">
        <v>7.7686255155116006</v>
      </c>
      <c r="M95" s="12">
        <v>759.18767536937287</v>
      </c>
      <c r="N95" s="11">
        <v>35.012245479600985</v>
      </c>
      <c r="O95" s="11">
        <v>2072.7006551598815</v>
      </c>
      <c r="P95" s="11">
        <v>71.007099360517444</v>
      </c>
      <c r="Q95" s="11">
        <v>1.6490666762721766</v>
      </c>
      <c r="R95" s="11">
        <v>1.0468074547948329</v>
      </c>
      <c r="S95" s="13">
        <v>17.251696065003873</v>
      </c>
      <c r="T95" s="14">
        <v>1027.0754469755393</v>
      </c>
      <c r="U95" s="91">
        <v>7.8314674356296772</v>
      </c>
      <c r="V95" s="12">
        <v>651.07269783056961</v>
      </c>
      <c r="W95" s="11">
        <v>34.163421102015633</v>
      </c>
      <c r="X95" s="11">
        <v>2074.5950612768997</v>
      </c>
      <c r="Y95" s="11">
        <v>69.961517621084624</v>
      </c>
      <c r="Z95" s="11">
        <v>1.6799449231794461</v>
      </c>
      <c r="AA95" s="11">
        <v>1.058724539483942</v>
      </c>
      <c r="AB95" s="13">
        <v>17.458064570772482</v>
      </c>
      <c r="AC95" s="14">
        <v>1026.796716846151</v>
      </c>
      <c r="AD95" s="15">
        <v>4</v>
      </c>
      <c r="AE95" s="9">
        <v>1.3361291843992325</v>
      </c>
      <c r="AF95" s="9">
        <v>5.9963088955851447</v>
      </c>
      <c r="AG95" s="9">
        <v>9.2338603281065783</v>
      </c>
      <c r="AH95" s="9">
        <v>13.893216347220701</v>
      </c>
      <c r="AI95" s="9">
        <v>8.7848281220993112</v>
      </c>
      <c r="AJ95" s="9">
        <v>2.4978032099786303</v>
      </c>
      <c r="AK95" s="9">
        <v>0.72339077676231001</v>
      </c>
      <c r="AL95" s="9">
        <v>1.5940224248875203</v>
      </c>
      <c r="AM95" s="9">
        <v>6.0929369987683533</v>
      </c>
      <c r="AN95" s="9">
        <v>9.1505075604266644</v>
      </c>
      <c r="AO95" s="9">
        <v>9.6706277125511537</v>
      </c>
      <c r="AP95" s="9">
        <v>6.3677250086454276</v>
      </c>
      <c r="AQ95" s="9">
        <v>6.1703535997217571</v>
      </c>
      <c r="AR95" s="9">
        <v>1.2800681298139338</v>
      </c>
      <c r="AS95" s="9">
        <v>6.0480954500902495</v>
      </c>
      <c r="AT95" s="9">
        <v>9.3035415535980412</v>
      </c>
      <c r="AU95" s="9">
        <v>14.068354995356675</v>
      </c>
      <c r="AV95" s="9">
        <v>8.842773872054055</v>
      </c>
      <c r="AW95" s="9">
        <v>2.4683289845642804</v>
      </c>
      <c r="AX95" s="9">
        <v>0.65773648146438868</v>
      </c>
      <c r="AY95" s="9">
        <v>1.5993888702782553</v>
      </c>
      <c r="AZ95" s="9">
        <v>6.1391266971250067</v>
      </c>
      <c r="BA95" s="9">
        <v>9.2506203344372402</v>
      </c>
      <c r="BB95" s="9">
        <v>9.7564495783565057</v>
      </c>
      <c r="BC95" s="9">
        <v>6.3822243869544302</v>
      </c>
      <c r="BD95" s="9">
        <v>6.1817123227190036</v>
      </c>
    </row>
    <row r="96" spans="3:56" x14ac:dyDescent="0.25">
      <c r="C96" s="111">
        <v>33.9968</v>
      </c>
      <c r="F96" s="111">
        <v>7.9180000000000001</v>
      </c>
      <c r="G96" s="112">
        <v>231</v>
      </c>
      <c r="J96" s="111">
        <v>2265.4299999999998</v>
      </c>
      <c r="K96" s="111">
        <v>2211.08</v>
      </c>
      <c r="L96" s="91">
        <v>7.7185058962821396</v>
      </c>
      <c r="M96" s="12">
        <v>855.77360260334694</v>
      </c>
      <c r="N96" s="11">
        <v>40.508597078522619</v>
      </c>
      <c r="O96" s="11">
        <v>2107.8002479990409</v>
      </c>
      <c r="P96" s="11">
        <v>62.771154922436232</v>
      </c>
      <c r="Q96" s="11">
        <v>1.4400599985942504</v>
      </c>
      <c r="R96" s="11">
        <v>0.91386877109171993</v>
      </c>
      <c r="S96" s="13">
        <v>17.987411173288201</v>
      </c>
      <c r="T96" s="14">
        <v>1027.5523666059496</v>
      </c>
      <c r="U96" s="91">
        <v>7.7713934599696053</v>
      </c>
      <c r="V96" s="12">
        <v>759.87772608419561</v>
      </c>
      <c r="W96" s="11">
        <v>39.84801253278426</v>
      </c>
      <c r="X96" s="11">
        <v>2109.1398255305753</v>
      </c>
      <c r="Y96" s="11">
        <v>62.092161936640338</v>
      </c>
      <c r="Z96" s="11">
        <v>1.4901416615117991</v>
      </c>
      <c r="AA96" s="11">
        <v>0.93929405603087557</v>
      </c>
      <c r="AB96" s="13">
        <v>18.161135498567653</v>
      </c>
      <c r="AC96" s="14">
        <v>1026.8800330264141</v>
      </c>
      <c r="AD96" s="15">
        <v>4</v>
      </c>
      <c r="AE96" s="9">
        <v>1.3248116833432504</v>
      </c>
      <c r="AF96" s="9">
        <v>6.0022236476684565</v>
      </c>
      <c r="AG96" s="9">
        <v>9.2445752282755045</v>
      </c>
      <c r="AH96" s="9">
        <v>13.925685071484654</v>
      </c>
      <c r="AI96" s="9">
        <v>8.7912757178067462</v>
      </c>
      <c r="AJ96" s="9">
        <v>2.4890280124867199</v>
      </c>
      <c r="AK96" s="9">
        <v>0.70550515628365251</v>
      </c>
      <c r="AL96" s="9">
        <v>1.5923143970635594</v>
      </c>
      <c r="AM96" s="9">
        <v>6.0980106538683705</v>
      </c>
      <c r="AN96" s="9">
        <v>9.1675788684108337</v>
      </c>
      <c r="AO96" s="9">
        <v>9.6831691876942401</v>
      </c>
      <c r="AP96" s="9">
        <v>6.3610643457880265</v>
      </c>
      <c r="AQ96" s="9">
        <v>6.1635675956717408</v>
      </c>
      <c r="AR96" s="9">
        <v>1.2803370491234756</v>
      </c>
      <c r="AS96" s="9">
        <v>6.0476947530175664</v>
      </c>
      <c r="AT96" s="9">
        <v>9.3024620507813101</v>
      </c>
      <c r="AU96" s="9">
        <v>14.06769608739927</v>
      </c>
      <c r="AV96" s="9">
        <v>8.8422027203612519</v>
      </c>
      <c r="AW96" s="9">
        <v>2.467488210709583</v>
      </c>
      <c r="AX96" s="9">
        <v>0.6565757744070212</v>
      </c>
      <c r="AY96" s="9">
        <v>1.5991318786806084</v>
      </c>
      <c r="AZ96" s="9">
        <v>6.1386467754451441</v>
      </c>
      <c r="BA96" s="9">
        <v>9.2513028876183903</v>
      </c>
      <c r="BB96" s="9">
        <v>9.7562162724234351</v>
      </c>
      <c r="BC96" s="9">
        <v>6.3806346536420415</v>
      </c>
      <c r="BD96" s="9">
        <v>6.1802086707900497</v>
      </c>
    </row>
    <row r="97" spans="3:56" x14ac:dyDescent="0.25">
      <c r="C97" s="111">
        <v>34.077300000000001</v>
      </c>
      <c r="F97" s="111">
        <v>7.0810000000000004</v>
      </c>
      <c r="G97" s="112">
        <v>320</v>
      </c>
      <c r="J97" s="111">
        <v>2280.2600000000002</v>
      </c>
      <c r="K97" s="111">
        <v>2254.75</v>
      </c>
      <c r="L97" s="91">
        <v>7.6288261701965974</v>
      </c>
      <c r="M97" s="12">
        <v>1057.314569026352</v>
      </c>
      <c r="N97" s="11">
        <v>51.490088952205944</v>
      </c>
      <c r="O97" s="11">
        <v>2152.4313920333243</v>
      </c>
      <c r="P97" s="11">
        <v>50.828519014469435</v>
      </c>
      <c r="Q97" s="11">
        <v>1.145414647099037</v>
      </c>
      <c r="R97" s="11">
        <v>0.72688578867454257</v>
      </c>
      <c r="S97" s="13">
        <v>18.748285806131424</v>
      </c>
      <c r="T97" s="14">
        <v>1028.1453071794037</v>
      </c>
      <c r="U97" s="91">
        <v>7.6722524985765936</v>
      </c>
      <c r="V97" s="12">
        <v>974.42902551742668</v>
      </c>
      <c r="W97" s="11">
        <v>51.07486030584635</v>
      </c>
      <c r="X97" s="11">
        <v>2153.1292679484927</v>
      </c>
      <c r="Y97" s="11">
        <v>50.545871745660918</v>
      </c>
      <c r="Z97" s="11">
        <v>1.2125179440946339</v>
      </c>
      <c r="AA97" s="11">
        <v>0.76441126557794847</v>
      </c>
      <c r="AB97" s="13">
        <v>18.866652524582285</v>
      </c>
      <c r="AC97" s="14">
        <v>1026.9438501570389</v>
      </c>
      <c r="AD97" s="15">
        <v>4</v>
      </c>
      <c r="AE97" s="9">
        <v>1.3124805744128767</v>
      </c>
      <c r="AF97" s="9">
        <v>6.0076204949262806</v>
      </c>
      <c r="AG97" s="9">
        <v>9.2556480316727789</v>
      </c>
      <c r="AH97" s="9">
        <v>13.959934788187503</v>
      </c>
      <c r="AI97" s="9">
        <v>8.7970570955596763</v>
      </c>
      <c r="AJ97" s="9">
        <v>2.479417126169821</v>
      </c>
      <c r="AK97" s="9">
        <v>0.68570305791299846</v>
      </c>
      <c r="AL97" s="9">
        <v>1.5899904801084503</v>
      </c>
      <c r="AM97" s="9">
        <v>6.1026919661116947</v>
      </c>
      <c r="AN97" s="9">
        <v>9.1845719188282562</v>
      </c>
      <c r="AO97" s="9">
        <v>9.695442094237702</v>
      </c>
      <c r="AP97" s="9">
        <v>6.3522720174194127</v>
      </c>
      <c r="AQ97" s="9">
        <v>6.154775463084353</v>
      </c>
      <c r="AR97" s="9">
        <v>1.2805430244271685</v>
      </c>
      <c r="AS97" s="9">
        <v>6.0473895815995355</v>
      </c>
      <c r="AT97" s="9">
        <v>9.3016369119681279</v>
      </c>
      <c r="AU97" s="9">
        <v>14.067192864097908</v>
      </c>
      <c r="AV97" s="9">
        <v>8.8417666011191933</v>
      </c>
      <c r="AW97" s="9">
        <v>2.4668450640179302</v>
      </c>
      <c r="AX97" s="9">
        <v>0.65568347966704477</v>
      </c>
      <c r="AY97" s="9">
        <v>1.5989362998751819</v>
      </c>
      <c r="AZ97" s="9">
        <v>6.1382823789262186</v>
      </c>
      <c r="BA97" s="9">
        <v>9.2518374447669007</v>
      </c>
      <c r="BB97" s="9">
        <v>9.7560386570890358</v>
      </c>
      <c r="BC97" s="9">
        <v>6.3794192243182488</v>
      </c>
      <c r="BD97" s="9">
        <v>6.1790581287405466</v>
      </c>
    </row>
    <row r="98" spans="3:56" x14ac:dyDescent="0.25">
      <c r="C98" s="111">
        <v>34.277500000000003</v>
      </c>
      <c r="F98" s="111">
        <v>5.9290000000000003</v>
      </c>
      <c r="G98" s="112">
        <v>514</v>
      </c>
      <c r="J98" s="111">
        <v>2314.13</v>
      </c>
      <c r="K98" s="111">
        <v>2312.19</v>
      </c>
      <c r="L98" s="91">
        <v>7.5554645900617992</v>
      </c>
      <c r="M98" s="12">
        <v>1245.1600409202774</v>
      </c>
      <c r="N98" s="11">
        <v>63.063335780700612</v>
      </c>
      <c r="O98" s="11">
        <v>2206.3487580913229</v>
      </c>
      <c r="P98" s="11">
        <v>42.777906127976259</v>
      </c>
      <c r="Q98" s="11">
        <v>0.92661514944396484</v>
      </c>
      <c r="R98" s="11">
        <v>0.58870687840863989</v>
      </c>
      <c r="S98" s="13">
        <v>18.912218123659578</v>
      </c>
      <c r="T98" s="14">
        <v>1029.3504995714306</v>
      </c>
      <c r="U98" s="91">
        <v>7.5902267199749156</v>
      </c>
      <c r="V98" s="12">
        <v>1205.2416221312706</v>
      </c>
      <c r="W98" s="11">
        <v>63.098472407223461</v>
      </c>
      <c r="X98" s="11">
        <v>2206.0146788660604</v>
      </c>
      <c r="Y98" s="11">
        <v>43.076848726716307</v>
      </c>
      <c r="Z98" s="11">
        <v>1.0322285029268004</v>
      </c>
      <c r="AA98" s="11">
        <v>0.65098680800782671</v>
      </c>
      <c r="AB98" s="13">
        <v>18.902686494283468</v>
      </c>
      <c r="AC98" s="14">
        <v>1027.1025687786346</v>
      </c>
      <c r="AD98" s="15">
        <v>4</v>
      </c>
      <c r="AE98" s="9">
        <v>1.2954482357237627</v>
      </c>
      <c r="AF98" s="9">
        <v>6.0115673668355205</v>
      </c>
      <c r="AG98" s="9">
        <v>9.2679192295060027</v>
      </c>
      <c r="AH98" s="9">
        <v>14.004385726589758</v>
      </c>
      <c r="AI98" s="9">
        <v>8.8007688380867357</v>
      </c>
      <c r="AJ98" s="9">
        <v>2.464110772073107</v>
      </c>
      <c r="AK98" s="9">
        <v>0.65475368395817701</v>
      </c>
      <c r="AL98" s="9">
        <v>1.584804501761937</v>
      </c>
      <c r="AM98" s="9">
        <v>6.1059874737815401</v>
      </c>
      <c r="AN98" s="9">
        <v>9.2053389096801599</v>
      </c>
      <c r="AO98" s="9">
        <v>9.7085225497713026</v>
      </c>
      <c r="AP98" s="9">
        <v>6.3325526521866697</v>
      </c>
      <c r="AQ98" s="9">
        <v>6.1355523659883939</v>
      </c>
      <c r="AR98" s="9">
        <v>1.2810552760520051</v>
      </c>
      <c r="AS98" s="9">
        <v>6.0466371673051</v>
      </c>
      <c r="AT98" s="9">
        <v>9.2995911927808095</v>
      </c>
      <c r="AU98" s="9">
        <v>14.065946825628595</v>
      </c>
      <c r="AV98" s="9">
        <v>8.8406870417136947</v>
      </c>
      <c r="AW98" s="9">
        <v>2.4652487019105807</v>
      </c>
      <c r="AX98" s="9">
        <v>0.65345192807365349</v>
      </c>
      <c r="AY98" s="9">
        <v>1.5984546186331128</v>
      </c>
      <c r="AZ98" s="9">
        <v>6.1373880838191184</v>
      </c>
      <c r="BA98" s="9">
        <v>9.2532108637714003</v>
      </c>
      <c r="BB98" s="9">
        <v>9.7556009829039336</v>
      </c>
      <c r="BC98" s="9">
        <v>6.3764047009645211</v>
      </c>
      <c r="BD98" s="9">
        <v>6.1762010417411375</v>
      </c>
    </row>
    <row r="99" spans="3:56" x14ac:dyDescent="0.25">
      <c r="C99" s="111">
        <v>33.409999999999997</v>
      </c>
      <c r="F99" s="111">
        <v>18.12</v>
      </c>
      <c r="G99" s="112">
        <v>2</v>
      </c>
      <c r="J99" s="111">
        <v>2241.4</v>
      </c>
      <c r="K99" s="111">
        <v>2003.99</v>
      </c>
      <c r="L99" s="91">
        <v>8.0556136451886111</v>
      </c>
      <c r="M99" s="12">
        <v>374.29283879077701</v>
      </c>
      <c r="N99" s="11">
        <v>12.901469173949126</v>
      </c>
      <c r="O99" s="11">
        <v>1820.7396989454851</v>
      </c>
      <c r="P99" s="11">
        <v>170.34883188056557</v>
      </c>
      <c r="Q99" s="11">
        <v>4.1123382707765836</v>
      </c>
      <c r="R99" s="11">
        <v>2.6524855720842324</v>
      </c>
      <c r="S99" s="13">
        <v>10.865689116354565</v>
      </c>
      <c r="T99" s="14">
        <v>1024.0351767253626</v>
      </c>
      <c r="U99" s="91">
        <v>8.2632940024161243</v>
      </c>
      <c r="V99" s="12">
        <v>212.5694064456149</v>
      </c>
      <c r="W99" s="11">
        <v>11.185751207679864</v>
      </c>
      <c r="X99" s="11">
        <v>1828.0763656415577</v>
      </c>
      <c r="Y99" s="11">
        <v>164.72788315076218</v>
      </c>
      <c r="Z99" s="11">
        <v>3.9656544598468031</v>
      </c>
      <c r="AA99" s="11">
        <v>2.4968273507330743</v>
      </c>
      <c r="AB99" s="13">
        <v>11.052061327485779</v>
      </c>
      <c r="AC99" s="14">
        <v>1026.4148983382383</v>
      </c>
      <c r="AD99" s="15">
        <v>4</v>
      </c>
      <c r="AE99" s="9">
        <v>1.4625723489509439</v>
      </c>
      <c r="AF99" s="9">
        <v>5.9060049526728324</v>
      </c>
      <c r="AG99" s="9">
        <v>9.0845223468871854</v>
      </c>
      <c r="AH99" s="9">
        <v>13.497704870057056</v>
      </c>
      <c r="AI99" s="9">
        <v>8.6785273761335553</v>
      </c>
      <c r="AJ99" s="9">
        <v>2.5840010859738634</v>
      </c>
      <c r="AK99" s="9">
        <v>0.90037127076729706</v>
      </c>
      <c r="AL99" s="9">
        <v>1.6030965751602471</v>
      </c>
      <c r="AM99" s="9">
        <v>6.0160719842413641</v>
      </c>
      <c r="AN99" s="9">
        <v>8.9329583828711545</v>
      </c>
      <c r="AO99" s="9">
        <v>9.500165543980474</v>
      </c>
      <c r="AP99" s="9">
        <v>6.3907551144618546</v>
      </c>
      <c r="AQ99" s="9">
        <v>6.200319313295906</v>
      </c>
      <c r="AR99" s="9">
        <v>1.2788356043010278</v>
      </c>
      <c r="AS99" s="9">
        <v>6.0499648240883301</v>
      </c>
      <c r="AT99" s="9">
        <v>9.3085212187827899</v>
      </c>
      <c r="AU99" s="9">
        <v>14.071402810771959</v>
      </c>
      <c r="AV99" s="9">
        <v>8.8454172379473395</v>
      </c>
      <c r="AW99" s="9">
        <v>2.4721983924084583</v>
      </c>
      <c r="AX99" s="9">
        <v>0.66299599191134562</v>
      </c>
      <c r="AY99" s="9">
        <v>1.6005908140763059</v>
      </c>
      <c r="AZ99" s="9">
        <v>6.141387313805013</v>
      </c>
      <c r="BA99" s="9">
        <v>9.247716793759226</v>
      </c>
      <c r="BB99" s="9">
        <v>9.7575395642453291</v>
      </c>
      <c r="BC99" s="9">
        <v>6.3895531953995164</v>
      </c>
      <c r="BD99" s="9">
        <v>6.1886268383782319</v>
      </c>
    </row>
    <row r="100" spans="3:56" x14ac:dyDescent="0.25">
      <c r="C100" s="111">
        <v>33.4176</v>
      </c>
      <c r="F100" s="111">
        <v>18.126999999999999</v>
      </c>
      <c r="G100" s="112">
        <v>25</v>
      </c>
      <c r="J100" s="111">
        <v>2236.1</v>
      </c>
      <c r="K100" s="111">
        <v>2003.4</v>
      </c>
      <c r="L100" s="91">
        <v>8.0459646092166643</v>
      </c>
      <c r="M100" s="12">
        <v>382.35559044595232</v>
      </c>
      <c r="N100" s="11">
        <v>13.176186713319119</v>
      </c>
      <c r="O100" s="11">
        <v>1823.0724932235139</v>
      </c>
      <c r="P100" s="11">
        <v>167.15132006316676</v>
      </c>
      <c r="Q100" s="11">
        <v>4.0199930764024119</v>
      </c>
      <c r="R100" s="11">
        <v>2.5936965484450201</v>
      </c>
      <c r="S100" s="13">
        <v>10.965514021989728</v>
      </c>
      <c r="T100" s="14">
        <v>1024.1404946572957</v>
      </c>
      <c r="U100" s="91">
        <v>8.2543595443762445</v>
      </c>
      <c r="V100" s="12">
        <v>217.25397004135573</v>
      </c>
      <c r="W100" s="11">
        <v>11.431748752891943</v>
      </c>
      <c r="X100" s="11">
        <v>1830.3633214778031</v>
      </c>
      <c r="Y100" s="11">
        <v>161.6049297693047</v>
      </c>
      <c r="Z100" s="11">
        <v>3.8903166697504994</v>
      </c>
      <c r="AA100" s="11">
        <v>2.449431988280379</v>
      </c>
      <c r="AB100" s="13">
        <v>11.157478987717834</v>
      </c>
      <c r="AC100" s="14">
        <v>1026.4209219470449</v>
      </c>
      <c r="AD100" s="15">
        <v>4</v>
      </c>
      <c r="AE100" s="9">
        <v>1.4626777040385266</v>
      </c>
      <c r="AF100" s="9">
        <v>5.9049504111777296</v>
      </c>
      <c r="AG100" s="9">
        <v>9.0836587368908717</v>
      </c>
      <c r="AH100" s="9">
        <v>13.496599089411015</v>
      </c>
      <c r="AI100" s="9">
        <v>8.6772688641803342</v>
      </c>
      <c r="AJ100" s="9">
        <v>2.5835741064497855</v>
      </c>
      <c r="AK100" s="9">
        <v>0.89972224020682234</v>
      </c>
      <c r="AL100" s="9">
        <v>1.6025655559798748</v>
      </c>
      <c r="AM100" s="9">
        <v>6.0151133575796312</v>
      </c>
      <c r="AN100" s="9">
        <v>8.9318317988998093</v>
      </c>
      <c r="AO100" s="9">
        <v>9.4988906148802883</v>
      </c>
      <c r="AP100" s="9">
        <v>6.3890221565489442</v>
      </c>
      <c r="AQ100" s="9">
        <v>6.1987160155430523</v>
      </c>
      <c r="AR100" s="9">
        <v>1.278855050416656</v>
      </c>
      <c r="AS100" s="9">
        <v>6.0499349109313689</v>
      </c>
      <c r="AT100" s="9">
        <v>9.3084422439565522</v>
      </c>
      <c r="AU100" s="9">
        <v>14.071354365632237</v>
      </c>
      <c r="AV100" s="9">
        <v>8.8453752039570652</v>
      </c>
      <c r="AW100" s="9">
        <v>2.4721371381410653</v>
      </c>
      <c r="AX100" s="9">
        <v>0.66291376240451683</v>
      </c>
      <c r="AY100" s="9">
        <v>1.6005715407811598</v>
      </c>
      <c r="AZ100" s="9">
        <v>6.1413508625560409</v>
      </c>
      <c r="BA100" s="9">
        <v>9.2477597142553325</v>
      </c>
      <c r="BB100" s="9">
        <v>9.7575221010218325</v>
      </c>
      <c r="BC100" s="9">
        <v>6.3894370114767263</v>
      </c>
      <c r="BD100" s="9">
        <v>6.1885174425664644</v>
      </c>
    </row>
    <row r="101" spans="3:56" x14ac:dyDescent="0.25">
      <c r="C101" s="111">
        <v>33.395400000000002</v>
      </c>
      <c r="F101" s="111">
        <v>18.120999999999999</v>
      </c>
      <c r="G101" s="112">
        <v>50</v>
      </c>
      <c r="J101" s="111">
        <v>2235.85</v>
      </c>
      <c r="K101" s="111">
        <v>2003.09</v>
      </c>
      <c r="L101" s="91">
        <v>8.0456220498416009</v>
      </c>
      <c r="M101" s="12">
        <v>381.69830872527262</v>
      </c>
      <c r="N101" s="11">
        <v>13.157402938718873</v>
      </c>
      <c r="O101" s="11">
        <v>1822.7866455056983</v>
      </c>
      <c r="P101" s="11">
        <v>167.1459515555828</v>
      </c>
      <c r="Q101" s="11">
        <v>4.0042512338972296</v>
      </c>
      <c r="R101" s="11">
        <v>2.5841308382029244</v>
      </c>
      <c r="S101" s="13">
        <v>10.964672934837401</v>
      </c>
      <c r="T101" s="14">
        <v>1024.2349536512625</v>
      </c>
      <c r="U101" s="91">
        <v>8.2548127405852494</v>
      </c>
      <c r="V101" s="12">
        <v>217.00116602560502</v>
      </c>
      <c r="W101" s="11">
        <v>11.419939948458971</v>
      </c>
      <c r="X101" s="11">
        <v>1830.0132500752043</v>
      </c>
      <c r="Y101" s="11">
        <v>161.65680997633677</v>
      </c>
      <c r="Z101" s="11">
        <v>3.8920210197203016</v>
      </c>
      <c r="AA101" s="11">
        <v>2.4503930789584123</v>
      </c>
      <c r="AB101" s="13">
        <v>11.156011077762168</v>
      </c>
      <c r="AC101" s="14">
        <v>1026.4033267147852</v>
      </c>
      <c r="AD101" s="15">
        <v>4</v>
      </c>
      <c r="AE101" s="9">
        <v>1.4625500606893969</v>
      </c>
      <c r="AF101" s="9">
        <v>5.9040563866816207</v>
      </c>
      <c r="AG101" s="9">
        <v>9.083262025938085</v>
      </c>
      <c r="AH101" s="9">
        <v>13.496185073743307</v>
      </c>
      <c r="AI101" s="9">
        <v>8.6762423930804626</v>
      </c>
      <c r="AJ101" s="9">
        <v>2.583245067370318</v>
      </c>
      <c r="AK101" s="9">
        <v>0.89903696272285039</v>
      </c>
      <c r="AL101" s="9">
        <v>1.6020758549387564</v>
      </c>
      <c r="AM101" s="9">
        <v>6.0143578422333182</v>
      </c>
      <c r="AN101" s="9">
        <v>8.9308405934669697</v>
      </c>
      <c r="AO101" s="9">
        <v>9.4978256830168224</v>
      </c>
      <c r="AP101" s="9">
        <v>6.3876207249075092</v>
      </c>
      <c r="AQ101" s="9">
        <v>6.1974139056556421</v>
      </c>
      <c r="AR101" s="9">
        <v>1.2787982472894264</v>
      </c>
      <c r="AS101" s="9">
        <v>6.0500223265528605</v>
      </c>
      <c r="AT101" s="9">
        <v>9.308672970323844</v>
      </c>
      <c r="AU101" s="9">
        <v>14.0714959089111</v>
      </c>
      <c r="AV101" s="9">
        <v>8.8454980171260704</v>
      </c>
      <c r="AW101" s="9">
        <v>2.4723160836503739</v>
      </c>
      <c r="AX101" s="9">
        <v>0.66315389274304604</v>
      </c>
      <c r="AY101" s="9">
        <v>1.6006278671544258</v>
      </c>
      <c r="AZ101" s="9">
        <v>6.1414574096627224</v>
      </c>
      <c r="BA101" s="9">
        <v>9.2476346031220018</v>
      </c>
      <c r="BB101" s="9">
        <v>9.75757313612859</v>
      </c>
      <c r="BC101" s="9">
        <v>6.3897764414605591</v>
      </c>
      <c r="BD101" s="9">
        <v>6.1888370215065951</v>
      </c>
    </row>
    <row r="102" spans="3:56" x14ac:dyDescent="0.25">
      <c r="C102" s="111">
        <v>33.149099999999997</v>
      </c>
      <c r="F102" s="111">
        <v>13.247999999999999</v>
      </c>
      <c r="G102" s="112">
        <v>100</v>
      </c>
      <c r="J102" s="111">
        <v>2213.9899999999998</v>
      </c>
      <c r="K102" s="111">
        <v>2029.48</v>
      </c>
      <c r="L102" s="91">
        <v>8.0212843772300992</v>
      </c>
      <c r="M102" s="12">
        <v>401.22132259147082</v>
      </c>
      <c r="N102" s="11">
        <v>16.028149820187767</v>
      </c>
      <c r="O102" s="11">
        <v>1878.7864474187104</v>
      </c>
      <c r="P102" s="11">
        <v>134.66540276110169</v>
      </c>
      <c r="Q102" s="11">
        <v>3.1898758343950417</v>
      </c>
      <c r="R102" s="11">
        <v>2.0366663238897194</v>
      </c>
      <c r="S102" s="13">
        <v>12.401311012136429</v>
      </c>
      <c r="T102" s="14">
        <v>1025.3580039811568</v>
      </c>
      <c r="U102" s="91">
        <v>8.1554246424009467</v>
      </c>
      <c r="V102" s="12">
        <v>280.94664283731231</v>
      </c>
      <c r="W102" s="11">
        <v>14.806615790918087</v>
      </c>
      <c r="X102" s="11">
        <v>1883.1312314564682</v>
      </c>
      <c r="Y102" s="11">
        <v>131.54215275261339</v>
      </c>
      <c r="Z102" s="11">
        <v>3.1710819457522468</v>
      </c>
      <c r="AA102" s="11">
        <v>1.9954607695346966</v>
      </c>
      <c r="AB102" s="13">
        <v>12.563791175102569</v>
      </c>
      <c r="AC102" s="14">
        <v>1026.2081241217807</v>
      </c>
      <c r="AD102" s="15">
        <v>4</v>
      </c>
      <c r="AE102" s="9">
        <v>1.3985006119326184</v>
      </c>
      <c r="AF102" s="9">
        <v>5.9522903517480614</v>
      </c>
      <c r="AG102" s="9">
        <v>9.1659057616515494</v>
      </c>
      <c r="AH102" s="9">
        <v>13.701199720974715</v>
      </c>
      <c r="AI102" s="9">
        <v>8.7349267688712242</v>
      </c>
      <c r="AJ102" s="9">
        <v>2.5439774300114104</v>
      </c>
      <c r="AK102" s="9">
        <v>0.81566944845061662</v>
      </c>
      <c r="AL102" s="9">
        <v>1.5986722201438637</v>
      </c>
      <c r="AM102" s="9">
        <v>6.0558837963153769</v>
      </c>
      <c r="AN102" s="9">
        <v>9.0411713463272321</v>
      </c>
      <c r="AO102" s="9">
        <v>9.5865498983972994</v>
      </c>
      <c r="AP102" s="9">
        <v>6.3859279209220228</v>
      </c>
      <c r="AQ102" s="9">
        <v>6.1910740248359399</v>
      </c>
      <c r="AR102" s="9">
        <v>1.2781680396211086</v>
      </c>
      <c r="AS102" s="9">
        <v>6.050999863513443</v>
      </c>
      <c r="AT102" s="9">
        <v>9.3112402835154757</v>
      </c>
      <c r="AU102" s="9">
        <v>14.073072926417051</v>
      </c>
      <c r="AV102" s="9">
        <v>8.8468666476190077</v>
      </c>
      <c r="AW102" s="9">
        <v>2.4743052159933883</v>
      </c>
      <c r="AX102" s="9">
        <v>0.66580463672510348</v>
      </c>
      <c r="AY102" s="9">
        <v>1.6012585338638341</v>
      </c>
      <c r="AZ102" s="9">
        <v>6.1426540683077695</v>
      </c>
      <c r="BA102" s="9">
        <v>9.2463001909643268</v>
      </c>
      <c r="BB102" s="9">
        <v>9.7581442893885182</v>
      </c>
      <c r="BC102" s="9">
        <v>6.3935526967336793</v>
      </c>
      <c r="BD102" s="9">
        <v>6.1923884257464294</v>
      </c>
    </row>
    <row r="103" spans="3:56" x14ac:dyDescent="0.25">
      <c r="C103" s="111">
        <v>33.5443</v>
      </c>
      <c r="F103" s="111">
        <v>9.5120000000000005</v>
      </c>
      <c r="G103" s="112">
        <v>170</v>
      </c>
      <c r="J103" s="111">
        <v>2227.9499999999998</v>
      </c>
      <c r="K103" s="111">
        <v>2133.54</v>
      </c>
      <c r="L103" s="91">
        <v>7.8311563426628359</v>
      </c>
      <c r="M103" s="12">
        <v>646.08817289269132</v>
      </c>
      <c r="N103" s="11">
        <v>29.055373753821129</v>
      </c>
      <c r="O103" s="11">
        <v>2022.5343576046089</v>
      </c>
      <c r="P103" s="11">
        <v>81.950268641569622</v>
      </c>
      <c r="Q103" s="11">
        <v>1.9080405204449791</v>
      </c>
      <c r="R103" s="11">
        <v>1.2119547126850796</v>
      </c>
      <c r="S103" s="13">
        <v>16.223794736590438</v>
      </c>
      <c r="T103" s="14">
        <v>1026.6677362983739</v>
      </c>
      <c r="U103" s="91">
        <v>7.9070828858045825</v>
      </c>
      <c r="V103" s="12">
        <v>534.47123013245107</v>
      </c>
      <c r="W103" s="11">
        <v>28.102508966435984</v>
      </c>
      <c r="X103" s="11">
        <v>2024.8356279794341</v>
      </c>
      <c r="Y103" s="11">
        <v>80.60186305412968</v>
      </c>
      <c r="Z103" s="11">
        <v>1.9390305155037049</v>
      </c>
      <c r="AA103" s="11">
        <v>1.221172603026061</v>
      </c>
      <c r="AB103" s="13">
        <v>16.430520897431318</v>
      </c>
      <c r="AC103" s="14">
        <v>1026.5213442707598</v>
      </c>
      <c r="AD103" s="15">
        <v>4</v>
      </c>
      <c r="AE103" s="9">
        <v>1.3470653246829147</v>
      </c>
      <c r="AF103" s="9">
        <v>5.9884869011389217</v>
      </c>
      <c r="AG103" s="9">
        <v>9.2235018689731696</v>
      </c>
      <c r="AH103" s="9">
        <v>13.859385918691757</v>
      </c>
      <c r="AI103" s="9">
        <v>8.7763659774076377</v>
      </c>
      <c r="AJ103" s="9">
        <v>2.507633164089297</v>
      </c>
      <c r="AK103" s="9">
        <v>0.74202060350472665</v>
      </c>
      <c r="AL103" s="9">
        <v>1.5949842780074142</v>
      </c>
      <c r="AM103" s="9">
        <v>6.0865840607760715</v>
      </c>
      <c r="AN103" s="9">
        <v>9.1290105047127081</v>
      </c>
      <c r="AO103" s="9">
        <v>9.6551785176876059</v>
      </c>
      <c r="AP103" s="9">
        <v>6.373300396900655</v>
      </c>
      <c r="AQ103" s="9">
        <v>6.1761991952406827</v>
      </c>
      <c r="AR103" s="9">
        <v>1.2791792376337725</v>
      </c>
      <c r="AS103" s="9">
        <v>6.049438207014278</v>
      </c>
      <c r="AT103" s="9">
        <v>9.3071275793212678</v>
      </c>
      <c r="AU103" s="9">
        <v>14.070548435308281</v>
      </c>
      <c r="AV103" s="9">
        <v>8.844676008727939</v>
      </c>
      <c r="AW103" s="9">
        <v>2.4711169376845725</v>
      </c>
      <c r="AX103" s="9">
        <v>0.66153940489359297</v>
      </c>
      <c r="AY103" s="9">
        <v>1.6002517046934479</v>
      </c>
      <c r="AZ103" s="9">
        <v>6.1407469056848587</v>
      </c>
      <c r="BA103" s="9">
        <v>9.2484889626218738</v>
      </c>
      <c r="BB103" s="9">
        <v>9.7572322336506456</v>
      </c>
      <c r="BC103" s="9">
        <v>6.3875027485520661</v>
      </c>
      <c r="BD103" s="9">
        <v>6.1866951570588142</v>
      </c>
    </row>
    <row r="104" spans="3:56" x14ac:dyDescent="0.25">
      <c r="C104" s="111">
        <v>33.938899999999997</v>
      </c>
      <c r="F104" s="111">
        <v>8.6690000000000005</v>
      </c>
      <c r="G104" s="112">
        <v>231</v>
      </c>
      <c r="J104" s="111">
        <v>2254.9299999999998</v>
      </c>
      <c r="K104" s="111">
        <v>2194.33</v>
      </c>
      <c r="L104" s="91">
        <v>7.7289495214350765</v>
      </c>
      <c r="M104" s="12">
        <v>833.31979505737297</v>
      </c>
      <c r="N104" s="11">
        <v>38.463448136905718</v>
      </c>
      <c r="O104" s="11">
        <v>2090.2545731705195</v>
      </c>
      <c r="P104" s="11">
        <v>65.611978692574809</v>
      </c>
      <c r="Q104" s="11">
        <v>1.5062747623322492</v>
      </c>
      <c r="R104" s="11">
        <v>0.95688550606998624</v>
      </c>
      <c r="S104" s="13">
        <v>17.704583781885862</v>
      </c>
      <c r="T104" s="14">
        <v>1027.3899888696392</v>
      </c>
      <c r="U104" s="91">
        <v>7.7931614276453276</v>
      </c>
      <c r="V104" s="12">
        <v>716.99328625633723</v>
      </c>
      <c r="W104" s="11">
        <v>37.611979318768242</v>
      </c>
      <c r="X104" s="11">
        <v>2092.0518089873644</v>
      </c>
      <c r="Y104" s="11">
        <v>64.66621169386751</v>
      </c>
      <c r="Z104" s="11">
        <v>1.5523988124885089</v>
      </c>
      <c r="AA104" s="11">
        <v>0.97843073751280818</v>
      </c>
      <c r="AB104" s="13">
        <v>17.922769316906791</v>
      </c>
      <c r="AC104" s="14">
        <v>1026.8341334216511</v>
      </c>
      <c r="AD104" s="15">
        <v>4</v>
      </c>
      <c r="AE104" s="9">
        <v>1.3357634834846088</v>
      </c>
      <c r="AF104" s="9">
        <v>5.9937985540485856</v>
      </c>
      <c r="AG104" s="9">
        <v>9.2321655685275879</v>
      </c>
      <c r="AH104" s="9">
        <v>13.892265555608532</v>
      </c>
      <c r="AI104" s="9">
        <v>8.7818580924241818</v>
      </c>
      <c r="AJ104" s="9">
        <v>2.4960420018773739</v>
      </c>
      <c r="AK104" s="9">
        <v>0.72034397655563809</v>
      </c>
      <c r="AL104" s="9">
        <v>1.5924048060366152</v>
      </c>
      <c r="AM104" s="9">
        <v>6.0906283594117845</v>
      </c>
      <c r="AN104" s="9">
        <v>9.1488010689517694</v>
      </c>
      <c r="AO104" s="9">
        <v>9.6680508261835882</v>
      </c>
      <c r="AP104" s="9">
        <v>6.3621052206589352</v>
      </c>
      <c r="AQ104" s="9">
        <v>6.1650609974979194</v>
      </c>
      <c r="AR104" s="9">
        <v>1.2801889004267819</v>
      </c>
      <c r="AS104" s="9">
        <v>6.0479151807907847</v>
      </c>
      <c r="AT104" s="9">
        <v>9.3030564434856178</v>
      </c>
      <c r="AU104" s="9">
        <v>14.068058814981875</v>
      </c>
      <c r="AV104" s="9">
        <v>8.8425171233644164</v>
      </c>
      <c r="AW104" s="9">
        <v>2.4679512435634106</v>
      </c>
      <c r="AX104" s="9">
        <v>0.65721580689451575</v>
      </c>
      <c r="AY104" s="9">
        <v>1.599273225299475</v>
      </c>
      <c r="AZ104" s="9">
        <v>6.1389105808723459</v>
      </c>
      <c r="BA104" s="9">
        <v>9.2509247101738072</v>
      </c>
      <c r="BB104" s="9">
        <v>9.7563446031792669</v>
      </c>
      <c r="BC104" s="9">
        <v>6.3815100385067396</v>
      </c>
      <c r="BD104" s="9">
        <v>6.1810368243063643</v>
      </c>
    </row>
    <row r="105" spans="3:56" x14ac:dyDescent="0.25">
      <c r="C105" s="111">
        <v>34.055999999999997</v>
      </c>
      <c r="F105" s="111">
        <v>7.3890000000000002</v>
      </c>
      <c r="G105" s="112">
        <v>318</v>
      </c>
      <c r="J105" s="111">
        <v>2273.39</v>
      </c>
      <c r="K105" s="111">
        <v>2241.92</v>
      </c>
      <c r="L105" s="91">
        <v>7.645048609164145</v>
      </c>
      <c r="M105" s="12">
        <v>1015.3111446268074</v>
      </c>
      <c r="N105" s="11">
        <v>48.925978544564941</v>
      </c>
      <c r="O105" s="11">
        <v>2139.9203845040802</v>
      </c>
      <c r="P105" s="11">
        <v>53.073636951355105</v>
      </c>
      <c r="Q105" s="11">
        <v>1.1968390836629073</v>
      </c>
      <c r="R105" s="11">
        <v>0.75980544030712238</v>
      </c>
      <c r="S105" s="13">
        <v>18.629042213435731</v>
      </c>
      <c r="T105" s="14">
        <v>1028.0743058194134</v>
      </c>
      <c r="U105" s="91">
        <v>7.6929822195216779</v>
      </c>
      <c r="V105" s="12">
        <v>923.74959050912878</v>
      </c>
      <c r="W105" s="11">
        <v>48.424565739478112</v>
      </c>
      <c r="X105" s="11">
        <v>2140.8082615929147</v>
      </c>
      <c r="Y105" s="11">
        <v>52.687172667607442</v>
      </c>
      <c r="Z105" s="11">
        <v>1.2640296163019189</v>
      </c>
      <c r="AA105" s="11">
        <v>0.79685458045639868</v>
      </c>
      <c r="AB105" s="13">
        <v>18.770524656799079</v>
      </c>
      <c r="AC105" s="14">
        <v>1026.9269641987387</v>
      </c>
      <c r="AD105" s="15">
        <v>4</v>
      </c>
      <c r="AE105" s="9">
        <v>1.3170596327426654</v>
      </c>
      <c r="AF105" s="9">
        <v>6.0041905139198759</v>
      </c>
      <c r="AG105" s="9">
        <v>9.2505673756005482</v>
      </c>
      <c r="AH105" s="9">
        <v>13.946151223288661</v>
      </c>
      <c r="AI105" s="9">
        <v>8.7932584391495485</v>
      </c>
      <c r="AJ105" s="9">
        <v>2.4823314853013208</v>
      </c>
      <c r="AK105" s="9">
        <v>0.69192410329275789</v>
      </c>
      <c r="AL105" s="9">
        <v>1.5900434464855577</v>
      </c>
      <c r="AM105" s="9">
        <v>6.099666625560153</v>
      </c>
      <c r="AN105" s="9">
        <v>9.1769185519641479</v>
      </c>
      <c r="AO105" s="9">
        <v>9.6892709421875107</v>
      </c>
      <c r="AP105" s="9">
        <v>6.352845194967756</v>
      </c>
      <c r="AQ105" s="9">
        <v>6.1555118308447954</v>
      </c>
      <c r="AR105" s="9">
        <v>1.2804885241294215</v>
      </c>
      <c r="AS105" s="9">
        <v>6.047470182199131</v>
      </c>
      <c r="AT105" s="9">
        <v>9.3018550977855927</v>
      </c>
      <c r="AU105" s="9">
        <v>14.067325892285442</v>
      </c>
      <c r="AV105" s="9">
        <v>8.8418818831141976</v>
      </c>
      <c r="AW105" s="9">
        <v>2.4670151680859784</v>
      </c>
      <c r="AX105" s="9">
        <v>0.65591985479179105</v>
      </c>
      <c r="AY105" s="9">
        <v>1.5989879431624094</v>
      </c>
      <c r="AZ105" s="9">
        <v>6.1383785280282792</v>
      </c>
      <c r="BA105" s="9">
        <v>9.2516950124638502</v>
      </c>
      <c r="BB105" s="9">
        <v>9.7560855623230438</v>
      </c>
      <c r="BC105" s="9">
        <v>6.3797406371481715</v>
      </c>
      <c r="BD105" s="9">
        <v>6.1793624609141711</v>
      </c>
    </row>
    <row r="106" spans="3:56" x14ac:dyDescent="0.25">
      <c r="C106" s="111">
        <v>34.248699999999999</v>
      </c>
      <c r="F106" s="111">
        <v>5.82</v>
      </c>
      <c r="G106" s="112">
        <v>513</v>
      </c>
      <c r="J106" s="111">
        <v>2315.33</v>
      </c>
      <c r="K106" s="111">
        <v>2313.58</v>
      </c>
      <c r="L106" s="91">
        <v>7.5566759196246096</v>
      </c>
      <c r="M106" s="12">
        <v>1241.6164216070154</v>
      </c>
      <c r="N106" s="11">
        <v>63.137856271205351</v>
      </c>
      <c r="O106" s="11">
        <v>2207.7376676929071</v>
      </c>
      <c r="P106" s="11">
        <v>42.704476035887602</v>
      </c>
      <c r="Q106" s="11">
        <v>0.92524653004835244</v>
      </c>
      <c r="R106" s="11">
        <v>0.58771809299803734</v>
      </c>
      <c r="S106" s="13">
        <v>18.926586282971311</v>
      </c>
      <c r="T106" s="14">
        <v>1029.3381659488184</v>
      </c>
      <c r="U106" s="91">
        <v>7.5898590743215868</v>
      </c>
      <c r="V106" s="12">
        <v>1207.0800685948429</v>
      </c>
      <c r="W106" s="11">
        <v>63.205445004073567</v>
      </c>
      <c r="X106" s="11">
        <v>2207.3374662028073</v>
      </c>
      <c r="Y106" s="11">
        <v>43.037088793118961</v>
      </c>
      <c r="Z106" s="11">
        <v>1.031436993017453</v>
      </c>
      <c r="AA106" s="11">
        <v>0.65045422948263021</v>
      </c>
      <c r="AB106" s="13">
        <v>18.907802992360267</v>
      </c>
      <c r="AC106" s="14">
        <v>1027.0797354081005</v>
      </c>
      <c r="AD106" s="15">
        <v>4</v>
      </c>
      <c r="AE106" s="9">
        <v>1.2936976157838285</v>
      </c>
      <c r="AF106" s="9">
        <v>6.0130182842692506</v>
      </c>
      <c r="AG106" s="9">
        <v>9.2701499894794548</v>
      </c>
      <c r="AH106" s="9">
        <v>14.009612190980805</v>
      </c>
      <c r="AI106" s="9">
        <v>8.8024094980429677</v>
      </c>
      <c r="AJ106" s="9">
        <v>2.463389954630097</v>
      </c>
      <c r="AK106" s="9">
        <v>0.65295729098854938</v>
      </c>
      <c r="AL106" s="9">
        <v>1.5849287493787692</v>
      </c>
      <c r="AM106" s="9">
        <v>6.1073193642245514</v>
      </c>
      <c r="AN106" s="9">
        <v>9.2079072415931744</v>
      </c>
      <c r="AO106" s="9">
        <v>9.710905289133521</v>
      </c>
      <c r="AP106" s="9">
        <v>6.3330218945613996</v>
      </c>
      <c r="AQ106" s="9">
        <v>6.1359334902727634</v>
      </c>
      <c r="AR106" s="9">
        <v>1.280981585508572</v>
      </c>
      <c r="AS106" s="9">
        <v>6.04674483284803</v>
      </c>
      <c r="AT106" s="9">
        <v>9.2998849229874256</v>
      </c>
      <c r="AU106" s="9">
        <v>14.066125598422754</v>
      </c>
      <c r="AV106" s="9">
        <v>8.8408419002941656</v>
      </c>
      <c r="AW106" s="9">
        <v>2.4654780757674937</v>
      </c>
      <c r="AX106" s="9">
        <v>0.65377405405381162</v>
      </c>
      <c r="AY106" s="9">
        <v>1.5985234988170356</v>
      </c>
      <c r="AZ106" s="9">
        <v>6.1375156884275013</v>
      </c>
      <c r="BA106" s="9">
        <v>9.2530094383646233</v>
      </c>
      <c r="BB106" s="9">
        <v>9.7556635908392852</v>
      </c>
      <c r="BC106" s="9">
        <v>6.3768376445387895</v>
      </c>
      <c r="BD106" s="9">
        <v>6.1766116829640163</v>
      </c>
    </row>
    <row r="107" spans="3:56" x14ac:dyDescent="0.25">
      <c r="C107" s="111">
        <v>33.388300000000001</v>
      </c>
      <c r="F107" s="111">
        <v>16.838999999999999</v>
      </c>
      <c r="G107" s="112">
        <v>2</v>
      </c>
      <c r="J107" s="111">
        <v>2233.39</v>
      </c>
      <c r="K107" s="111">
        <v>2005.15</v>
      </c>
      <c r="L107" s="91">
        <v>8.0583234010472946</v>
      </c>
      <c r="M107" s="12">
        <v>370.44318882275542</v>
      </c>
      <c r="N107" s="11">
        <v>13.254251186791452</v>
      </c>
      <c r="O107" s="11">
        <v>1828.0958780865951</v>
      </c>
      <c r="P107" s="11">
        <v>163.79987072661334</v>
      </c>
      <c r="Q107" s="11">
        <v>3.9501816943452468</v>
      </c>
      <c r="R107" s="11">
        <v>2.5400566375356695</v>
      </c>
      <c r="S107" s="13">
        <v>11.093813810759457</v>
      </c>
      <c r="T107" s="14">
        <v>1024.3250666176082</v>
      </c>
      <c r="U107" s="91">
        <v>8.245939696192174</v>
      </c>
      <c r="V107" s="12">
        <v>222.05227442929439</v>
      </c>
      <c r="W107" s="11">
        <v>11.68624926261124</v>
      </c>
      <c r="X107" s="11">
        <v>1834.6977720069817</v>
      </c>
      <c r="Y107" s="11">
        <v>158.76597873040686</v>
      </c>
      <c r="Z107" s="11">
        <v>3.8225648674131865</v>
      </c>
      <c r="AA107" s="11">
        <v>2.4066286401387109</v>
      </c>
      <c r="AB107" s="13">
        <v>11.269199799437889</v>
      </c>
      <c r="AC107" s="14">
        <v>1026.3976994403522</v>
      </c>
      <c r="AD107" s="15">
        <v>4</v>
      </c>
      <c r="AE107" s="9">
        <v>1.4463664171814712</v>
      </c>
      <c r="AF107" s="9">
        <v>5.9186796284504872</v>
      </c>
      <c r="AG107" s="9">
        <v>9.106008815798738</v>
      </c>
      <c r="AH107" s="9">
        <v>13.550888164079181</v>
      </c>
      <c r="AI107" s="9">
        <v>8.694198187442451</v>
      </c>
      <c r="AJ107" s="9">
        <v>2.573702162932753</v>
      </c>
      <c r="AK107" s="9">
        <v>0.87895316531599388</v>
      </c>
      <c r="AL107" s="9">
        <v>1.6021942023597975</v>
      </c>
      <c r="AM107" s="9">
        <v>6.0268158820976616</v>
      </c>
      <c r="AN107" s="9">
        <v>8.9623651368223829</v>
      </c>
      <c r="AO107" s="9">
        <v>9.5235454038621032</v>
      </c>
      <c r="AP107" s="9">
        <v>6.3905911288710735</v>
      </c>
      <c r="AQ107" s="9">
        <v>6.1988174572952133</v>
      </c>
      <c r="AR107" s="9">
        <v>1.2787800805235106</v>
      </c>
      <c r="AS107" s="9">
        <v>6.0500503080084185</v>
      </c>
      <c r="AT107" s="9">
        <v>9.3087467847722127</v>
      </c>
      <c r="AU107" s="9">
        <v>14.07154119810788</v>
      </c>
      <c r="AV107" s="9">
        <v>8.8455373142593103</v>
      </c>
      <c r="AW107" s="9">
        <v>2.4723733258939586</v>
      </c>
      <c r="AX107" s="9">
        <v>0.66323064861694969</v>
      </c>
      <c r="AY107" s="9">
        <v>1.6006458994629953</v>
      </c>
      <c r="AZ107" s="9">
        <v>6.1414915311816838</v>
      </c>
      <c r="BA107" s="9">
        <v>9.2475947582484608</v>
      </c>
      <c r="BB107" s="9">
        <v>9.757589473648089</v>
      </c>
      <c r="BC107" s="9">
        <v>6.3898850304155772</v>
      </c>
      <c r="BD107" s="9">
        <v>6.1889392471905564</v>
      </c>
    </row>
    <row r="108" spans="3:56" x14ac:dyDescent="0.25">
      <c r="C108" s="111">
        <v>33.3904</v>
      </c>
      <c r="F108" s="111">
        <v>16.803000000000001</v>
      </c>
      <c r="G108" s="112">
        <v>27</v>
      </c>
      <c r="J108" s="111">
        <v>2233.42</v>
      </c>
      <c r="K108" s="111">
        <v>2004.47</v>
      </c>
      <c r="L108" s="91">
        <v>8.0594053654870343</v>
      </c>
      <c r="M108" s="12">
        <v>368.33812021711822</v>
      </c>
      <c r="N108" s="11">
        <v>13.192725310571781</v>
      </c>
      <c r="O108" s="11">
        <v>1827.1009379680186</v>
      </c>
      <c r="P108" s="11">
        <v>164.17633672140968</v>
      </c>
      <c r="Q108" s="11">
        <v>3.9427620803170451</v>
      </c>
      <c r="R108" s="11">
        <v>2.5358216754760807</v>
      </c>
      <c r="S108" s="13">
        <v>11.076660808917303</v>
      </c>
      <c r="T108" s="14">
        <v>1024.4455688541793</v>
      </c>
      <c r="U108" s="91">
        <v>8.2473784014505966</v>
      </c>
      <c r="V108" s="12">
        <v>221.18664653998852</v>
      </c>
      <c r="W108" s="11">
        <v>11.640548655236982</v>
      </c>
      <c r="X108" s="11">
        <v>1833.6220434125833</v>
      </c>
      <c r="Y108" s="11">
        <v>159.20740793217973</v>
      </c>
      <c r="Z108" s="11">
        <v>3.8331506284621679</v>
      </c>
      <c r="AA108" s="11">
        <v>2.4133037366610957</v>
      </c>
      <c r="AB108" s="13">
        <v>11.250020920536569</v>
      </c>
      <c r="AC108" s="14">
        <v>1026.3993638439738</v>
      </c>
      <c r="AD108" s="15">
        <v>4</v>
      </c>
      <c r="AE108" s="9">
        <v>1.4459121474187868</v>
      </c>
      <c r="AF108" s="9">
        <v>5.9179773448913</v>
      </c>
      <c r="AG108" s="9">
        <v>9.1058573450543516</v>
      </c>
      <c r="AH108" s="9">
        <v>13.551537059468297</v>
      </c>
      <c r="AI108" s="9">
        <v>8.693386945923665</v>
      </c>
      <c r="AJ108" s="9">
        <v>2.5729305022313311</v>
      </c>
      <c r="AK108" s="9">
        <v>0.87755160785416142</v>
      </c>
      <c r="AL108" s="9">
        <v>1.6015965622649455</v>
      </c>
      <c r="AM108" s="9">
        <v>6.0261655652539918</v>
      </c>
      <c r="AN108" s="9">
        <v>8.9621206126381558</v>
      </c>
      <c r="AO108" s="9">
        <v>9.5229632661220904</v>
      </c>
      <c r="AP108" s="9">
        <v>6.3887503068653446</v>
      </c>
      <c r="AQ108" s="9">
        <v>6.1970684455546712</v>
      </c>
      <c r="AR108" s="9">
        <v>1.2787854537923022</v>
      </c>
      <c r="AS108" s="9">
        <v>6.050042030581416</v>
      </c>
      <c r="AT108" s="9">
        <v>9.3087249511393981</v>
      </c>
      <c r="AU108" s="9">
        <v>14.071527801658807</v>
      </c>
      <c r="AV108" s="9">
        <v>8.845525690201935</v>
      </c>
      <c r="AW108" s="9">
        <v>2.4723563944874658</v>
      </c>
      <c r="AX108" s="9">
        <v>0.66320794832162122</v>
      </c>
      <c r="AY108" s="9">
        <v>1.6006405650534747</v>
      </c>
      <c r="AZ108" s="9">
        <v>6.1414814365967523</v>
      </c>
      <c r="BA108" s="9">
        <v>9.247606534861502</v>
      </c>
      <c r="BB108" s="9">
        <v>9.7575846406423103</v>
      </c>
      <c r="BC108" s="9">
        <v>6.3898529109128761</v>
      </c>
      <c r="BD108" s="9">
        <v>6.1889090105146369</v>
      </c>
    </row>
    <row r="109" spans="3:56" x14ac:dyDescent="0.25">
      <c r="C109" s="111">
        <v>33.383600000000001</v>
      </c>
      <c r="F109" s="111">
        <v>16.141999999999999</v>
      </c>
      <c r="G109" s="112">
        <v>46</v>
      </c>
      <c r="J109" s="111">
        <v>2231.7800000000002</v>
      </c>
      <c r="K109" s="111">
        <v>2010.6</v>
      </c>
      <c r="L109" s="91">
        <v>8.0532905119918112</v>
      </c>
      <c r="M109" s="12">
        <v>373.49120525919568</v>
      </c>
      <c r="N109" s="11">
        <v>13.641756297404369</v>
      </c>
      <c r="O109" s="11">
        <v>1838.0139851854453</v>
      </c>
      <c r="P109" s="11">
        <v>158.94425851715033</v>
      </c>
      <c r="Q109" s="11">
        <v>3.8030088564886553</v>
      </c>
      <c r="R109" s="11">
        <v>2.4427575699903032</v>
      </c>
      <c r="S109" s="13">
        <v>11.287909375332399</v>
      </c>
      <c r="T109" s="14">
        <v>1024.6769171134863</v>
      </c>
      <c r="U109" s="91">
        <v>8.2314576007071238</v>
      </c>
      <c r="V109" s="12">
        <v>230.76475159909418</v>
      </c>
      <c r="W109" s="11">
        <v>12.14510903595076</v>
      </c>
      <c r="X109" s="11">
        <v>1844.1242613259506</v>
      </c>
      <c r="Y109" s="11">
        <v>154.3306296380986</v>
      </c>
      <c r="Z109" s="11">
        <v>3.715868183718428</v>
      </c>
      <c r="AA109" s="11">
        <v>2.3394313210437883</v>
      </c>
      <c r="AB109" s="13">
        <v>11.459348040290411</v>
      </c>
      <c r="AC109" s="14">
        <v>1026.3939743510746</v>
      </c>
      <c r="AD109" s="15">
        <v>4</v>
      </c>
      <c r="AE109" s="9">
        <v>1.4374100929444327</v>
      </c>
      <c r="AF109" s="9">
        <v>5.9238119872730524</v>
      </c>
      <c r="AG109" s="9">
        <v>9.1163944788589095</v>
      </c>
      <c r="AH109" s="9">
        <v>13.578556209847044</v>
      </c>
      <c r="AI109" s="9">
        <v>8.700552259067182</v>
      </c>
      <c r="AJ109" s="9">
        <v>2.5671947694258028</v>
      </c>
      <c r="AK109" s="9">
        <v>0.86573987821471177</v>
      </c>
      <c r="AL109" s="9">
        <v>1.6007382457920325</v>
      </c>
      <c r="AM109" s="9">
        <v>6.0310938884367671</v>
      </c>
      <c r="AN109" s="9">
        <v>8.9765771569020174</v>
      </c>
      <c r="AO109" s="9">
        <v>9.5342172240756735</v>
      </c>
      <c r="AP109" s="9">
        <v>6.3872312425887188</v>
      </c>
      <c r="AQ109" s="9">
        <v>6.1949842736029552</v>
      </c>
      <c r="AR109" s="9">
        <v>1.2787680546362141</v>
      </c>
      <c r="AS109" s="9">
        <v>6.0500688373974336</v>
      </c>
      <c r="AT109" s="9">
        <v>9.3087956541450136</v>
      </c>
      <c r="AU109" s="9">
        <v>14.071571183841982</v>
      </c>
      <c r="AV109" s="9">
        <v>8.8455633329341392</v>
      </c>
      <c r="AW109" s="9">
        <v>2.472411221827076</v>
      </c>
      <c r="AX109" s="9">
        <v>0.66328144751008111</v>
      </c>
      <c r="AY109" s="9">
        <v>1.6006578411492969</v>
      </c>
      <c r="AZ109" s="9">
        <v>6.1415141308403767</v>
      </c>
      <c r="BA109" s="9">
        <v>9.2475684269146239</v>
      </c>
      <c r="BB109" s="9">
        <v>9.7576002927550718</v>
      </c>
      <c r="BC109" s="9">
        <v>6.3899569219237797</v>
      </c>
      <c r="BD109" s="9">
        <v>6.1890069225234852</v>
      </c>
    </row>
    <row r="110" spans="3:56" x14ac:dyDescent="0.25">
      <c r="C110" s="111">
        <v>33.4465</v>
      </c>
      <c r="F110" s="111">
        <v>11.268000000000001</v>
      </c>
      <c r="G110" s="112">
        <v>103</v>
      </c>
      <c r="J110" s="111">
        <v>2225.31</v>
      </c>
      <c r="K110" s="111">
        <v>2106.15</v>
      </c>
      <c r="L110" s="91">
        <v>7.8805160651518884</v>
      </c>
      <c r="M110" s="12">
        <v>577.53147738998405</v>
      </c>
      <c r="N110" s="11">
        <v>24.530286899795843</v>
      </c>
      <c r="O110" s="11">
        <v>1985.6703505154533</v>
      </c>
      <c r="P110" s="11">
        <v>95.949362584751185</v>
      </c>
      <c r="Q110" s="11">
        <v>2.2647425008856064</v>
      </c>
      <c r="R110" s="11">
        <v>1.4414798413167642</v>
      </c>
      <c r="S110" s="13">
        <v>15.030525258559614</v>
      </c>
      <c r="T110" s="14">
        <v>1025.9824421529174</v>
      </c>
      <c r="U110" s="91">
        <v>7.9816485883205406</v>
      </c>
      <c r="V110" s="12">
        <v>442.33936510150909</v>
      </c>
      <c r="W110" s="11">
        <v>23.271618750284397</v>
      </c>
      <c r="X110" s="11">
        <v>1989.0875394623229</v>
      </c>
      <c r="Y110" s="11">
        <v>93.79084178739285</v>
      </c>
      <c r="Z110" s="11">
        <v>2.2574833943589554</v>
      </c>
      <c r="AA110" s="11">
        <v>1.4214472072759925</v>
      </c>
      <c r="AB110" s="13">
        <v>15.266051547138359</v>
      </c>
      <c r="AC110" s="14">
        <v>1026.4438276622227</v>
      </c>
      <c r="AD110" s="15">
        <v>4</v>
      </c>
      <c r="AE110" s="9">
        <v>1.3718730320753638</v>
      </c>
      <c r="AF110" s="9">
        <v>5.9723115416919184</v>
      </c>
      <c r="AG110" s="9">
        <v>9.196381122286331</v>
      </c>
      <c r="AH110" s="9">
        <v>13.784895393867089</v>
      </c>
      <c r="AI110" s="9">
        <v>8.7579742817160557</v>
      </c>
      <c r="AJ110" s="9">
        <v>2.5247335368437853</v>
      </c>
      <c r="AK110" s="9">
        <v>0.77737821973945498</v>
      </c>
      <c r="AL110" s="9">
        <v>1.597115357629316</v>
      </c>
      <c r="AM110" s="9">
        <v>6.072645145017928</v>
      </c>
      <c r="AN110" s="9">
        <v>9.0892491991022837</v>
      </c>
      <c r="AO110" s="9">
        <v>9.6240617140429823</v>
      </c>
      <c r="AP110" s="9">
        <v>6.3805079769838837</v>
      </c>
      <c r="AQ110" s="9">
        <v>6.1842977199890408</v>
      </c>
      <c r="AR110" s="9">
        <v>1.2789289968300315</v>
      </c>
      <c r="AS110" s="9">
        <v>6.0498212849593029</v>
      </c>
      <c r="AT110" s="9">
        <v>9.3081420513670139</v>
      </c>
      <c r="AU110" s="9">
        <v>14.071170252226526</v>
      </c>
      <c r="AV110" s="9">
        <v>8.8452154606999436</v>
      </c>
      <c r="AW110" s="9">
        <v>2.471904271118726</v>
      </c>
      <c r="AX110" s="9">
        <v>0.66260085742296548</v>
      </c>
      <c r="AY110" s="9">
        <v>1.6004983428042405</v>
      </c>
      <c r="AZ110" s="9">
        <v>6.1412124830713521</v>
      </c>
      <c r="BA110" s="9">
        <v>9.2479237767754938</v>
      </c>
      <c r="BB110" s="9">
        <v>9.7574557732271874</v>
      </c>
      <c r="BC110" s="9">
        <v>6.3889953713301386</v>
      </c>
      <c r="BD110" s="9">
        <v>6.1881015415003358</v>
      </c>
    </row>
    <row r="111" spans="3:56" x14ac:dyDescent="0.25">
      <c r="C111" s="111">
        <v>33.988399999999999</v>
      </c>
      <c r="F111" s="111">
        <v>9.6059999999999999</v>
      </c>
      <c r="G111" s="112">
        <v>170</v>
      </c>
      <c r="J111" s="111">
        <v>2257.31</v>
      </c>
      <c r="K111" s="111">
        <v>2202.9299999999998</v>
      </c>
      <c r="L111" s="91">
        <v>7.6966145255797969</v>
      </c>
      <c r="M111" s="12">
        <v>913.29276794211012</v>
      </c>
      <c r="N111" s="11">
        <v>40.838759296662914</v>
      </c>
      <c r="O111" s="11">
        <v>2098.8086897936109</v>
      </c>
      <c r="P111" s="11">
        <v>63.282550909725863</v>
      </c>
      <c r="Q111" s="11">
        <v>1.4696381173806266</v>
      </c>
      <c r="R111" s="11">
        <v>0.93442811748675092</v>
      </c>
      <c r="S111" s="13">
        <v>17.837086867871676</v>
      </c>
      <c r="T111" s="14">
        <v>1026.9986100781416</v>
      </c>
      <c r="U111" s="91">
        <v>7.7718509985809057</v>
      </c>
      <c r="V111" s="12">
        <v>756.29301310614119</v>
      </c>
      <c r="W111" s="11">
        <v>39.661992877234653</v>
      </c>
      <c r="X111" s="11">
        <v>2101.3521900133501</v>
      </c>
      <c r="Y111" s="11">
        <v>61.915817109414981</v>
      </c>
      <c r="Z111" s="11">
        <v>1.4859767072939316</v>
      </c>
      <c r="AA111" s="11">
        <v>0.93665400822073575</v>
      </c>
      <c r="AB111" s="13">
        <v>18.144513470425103</v>
      </c>
      <c r="AC111" s="14">
        <v>1026.8733739560741</v>
      </c>
      <c r="AD111" s="15">
        <v>4</v>
      </c>
      <c r="AE111" s="9">
        <v>1.3495374791129795</v>
      </c>
      <c r="AF111" s="9">
        <v>5.9857142114372515</v>
      </c>
      <c r="AG111" s="9">
        <v>9.2173034020540427</v>
      </c>
      <c r="AH111" s="9">
        <v>13.852235754316096</v>
      </c>
      <c r="AI111" s="9">
        <v>8.7726969065689442</v>
      </c>
      <c r="AJ111" s="9">
        <v>2.5048840555371967</v>
      </c>
      <c r="AK111" s="9">
        <v>0.73941665107762211</v>
      </c>
      <c r="AL111" s="9">
        <v>1.5937784828421069</v>
      </c>
      <c r="AM111" s="9">
        <v>6.0834388297026791</v>
      </c>
      <c r="AN111" s="9">
        <v>9.1289963072275455</v>
      </c>
      <c r="AO111" s="9">
        <v>9.6522751427196116</v>
      </c>
      <c r="AP111" s="9">
        <v>6.3664776281833815</v>
      </c>
      <c r="AQ111" s="9">
        <v>6.1698131187668048</v>
      </c>
      <c r="AR111" s="9">
        <v>1.2803155560483075</v>
      </c>
      <c r="AS111" s="9">
        <v>6.047726683824691</v>
      </c>
      <c r="AT111" s="9">
        <v>9.3025482368154755</v>
      </c>
      <c r="AU111" s="9">
        <v>14.06774867046656</v>
      </c>
      <c r="AV111" s="9">
        <v>8.8422482957296964</v>
      </c>
      <c r="AW111" s="9">
        <v>2.4675553632554981</v>
      </c>
      <c r="AX111" s="9">
        <v>0.65666871961868789</v>
      </c>
      <c r="AY111" s="9">
        <v>1.5991523498215265</v>
      </c>
      <c r="AZ111" s="9">
        <v>6.1386849588103347</v>
      </c>
      <c r="BA111" s="9">
        <v>9.2512476948988223</v>
      </c>
      <c r="BB111" s="9">
        <v>9.7562348602161233</v>
      </c>
      <c r="BC111" s="9">
        <v>6.3807615909917201</v>
      </c>
      <c r="BD111" s="9">
        <v>6.1803287850219224</v>
      </c>
    </row>
    <row r="112" spans="3:56" x14ac:dyDescent="0.25">
      <c r="C112" s="111">
        <v>34.158900000000003</v>
      </c>
      <c r="F112" s="111">
        <v>9.2810000000000006</v>
      </c>
      <c r="G112" s="112">
        <v>230</v>
      </c>
      <c r="J112" s="111">
        <v>2270.96</v>
      </c>
      <c r="K112" s="111">
        <v>2229.52</v>
      </c>
      <c r="L112" s="91">
        <v>7.6540003784446204</v>
      </c>
      <c r="M112" s="12">
        <v>1011.2780325086752</v>
      </c>
      <c r="N112" s="11">
        <v>45.668334624784109</v>
      </c>
      <c r="O112" s="11">
        <v>2126.0168270892304</v>
      </c>
      <c r="P112" s="11">
        <v>57.834838285985377</v>
      </c>
      <c r="Q112" s="11">
        <v>1.3267112277868274</v>
      </c>
      <c r="R112" s="11">
        <v>0.84396669432635729</v>
      </c>
      <c r="S112" s="13">
        <v>18.232553326611868</v>
      </c>
      <c r="T112" s="14">
        <v>1027.4575223892596</v>
      </c>
      <c r="U112" s="91">
        <v>7.7261095390820236</v>
      </c>
      <c r="V112" s="12">
        <v>850.65621451724962</v>
      </c>
      <c r="W112" s="11">
        <v>44.565857247042068</v>
      </c>
      <c r="X112" s="11">
        <v>2128.2861840666465</v>
      </c>
      <c r="Y112" s="11">
        <v>56.667958686311422</v>
      </c>
      <c r="Z112" s="11">
        <v>1.3587784497393771</v>
      </c>
      <c r="AA112" s="11">
        <v>0.85674662550740044</v>
      </c>
      <c r="AB112" s="13">
        <v>18.532326478938675</v>
      </c>
      <c r="AC112" s="14">
        <v>1027.0085412487167</v>
      </c>
      <c r="AD112" s="15">
        <v>4</v>
      </c>
      <c r="AE112" s="9">
        <v>1.3452553987869198</v>
      </c>
      <c r="AF112" s="9">
        <v>5.9860488554635971</v>
      </c>
      <c r="AG112" s="9">
        <v>9.2193775504443884</v>
      </c>
      <c r="AH112" s="9">
        <v>13.863478897403319</v>
      </c>
      <c r="AI112" s="9">
        <v>8.7728176706134207</v>
      </c>
      <c r="AJ112" s="9">
        <v>2.4996152322489236</v>
      </c>
      <c r="AK112" s="9">
        <v>0.72969160426394608</v>
      </c>
      <c r="AL112" s="9">
        <v>1.591837521294913</v>
      </c>
      <c r="AM112" s="9">
        <v>6.0834555807993631</v>
      </c>
      <c r="AN112" s="9">
        <v>9.1351295391051703</v>
      </c>
      <c r="AO112" s="9">
        <v>9.6552831121739295</v>
      </c>
      <c r="AP112" s="9">
        <v>6.3589649205742216</v>
      </c>
      <c r="AQ112" s="9">
        <v>6.1625138243311532</v>
      </c>
      <c r="AR112" s="9">
        <v>1.2807518143002288</v>
      </c>
      <c r="AS112" s="9">
        <v>6.0470817781113819</v>
      </c>
      <c r="AT112" s="9">
        <v>9.3008019962582154</v>
      </c>
      <c r="AU112" s="9">
        <v>14.066684050908986</v>
      </c>
      <c r="AV112" s="9">
        <v>8.84132571237833</v>
      </c>
      <c r="AW112" s="9">
        <v>2.4661938636946479</v>
      </c>
      <c r="AX112" s="9">
        <v>0.65477607302063101</v>
      </c>
      <c r="AY112" s="9">
        <v>1.598739160240769</v>
      </c>
      <c r="AZ112" s="9">
        <v>6.1379158191284109</v>
      </c>
      <c r="BA112" s="9">
        <v>9.2523896807361279</v>
      </c>
      <c r="BB112" s="9">
        <v>9.755859569089619</v>
      </c>
      <c r="BC112" s="9">
        <v>6.3781891233359893</v>
      </c>
      <c r="BD112" s="9">
        <v>6.1778928755419535</v>
      </c>
    </row>
    <row r="113" spans="3:56" x14ac:dyDescent="0.25">
      <c r="C113" s="111">
        <v>34.221299999999999</v>
      </c>
      <c r="F113" s="111">
        <v>8.4649999999999999</v>
      </c>
      <c r="G113" s="112">
        <v>320</v>
      </c>
      <c r="J113" s="111">
        <v>2286.81</v>
      </c>
      <c r="K113" s="111">
        <v>2254.34</v>
      </c>
      <c r="L113" s="91">
        <v>7.6312313430987544</v>
      </c>
      <c r="M113" s="12">
        <v>1061.4853463050795</v>
      </c>
      <c r="N113" s="11">
        <v>49.253830025982317</v>
      </c>
      <c r="O113" s="11">
        <v>2150.9238934991049</v>
      </c>
      <c r="P113" s="11">
        <v>54.162276474912865</v>
      </c>
      <c r="Q113" s="11">
        <v>1.2206615389537436</v>
      </c>
      <c r="R113" s="11">
        <v>0.77642265291713231</v>
      </c>
      <c r="S113" s="13">
        <v>18.513664810913205</v>
      </c>
      <c r="T113" s="14">
        <v>1028.0469499775968</v>
      </c>
      <c r="U113" s="91">
        <v>7.6947448521283288</v>
      </c>
      <c r="V113" s="12">
        <v>924.61525168882019</v>
      </c>
      <c r="W113" s="11">
        <v>48.422764020125072</v>
      </c>
      <c r="X113" s="11">
        <v>2152.5189536373832</v>
      </c>
      <c r="Y113" s="11">
        <v>53.398282342491569</v>
      </c>
      <c r="Z113" s="11">
        <v>1.2799459671577955</v>
      </c>
      <c r="AA113" s="11">
        <v>0.80713159614839769</v>
      </c>
      <c r="AB113" s="13">
        <v>18.744757331378263</v>
      </c>
      <c r="AC113" s="14">
        <v>1027.0580122185677</v>
      </c>
      <c r="AD113" s="15">
        <v>4</v>
      </c>
      <c r="AE113" s="9">
        <v>1.3334739958429027</v>
      </c>
      <c r="AF113" s="9">
        <v>5.9910463064642299</v>
      </c>
      <c r="AG113" s="9">
        <v>9.2301594773097015</v>
      </c>
      <c r="AH113" s="9">
        <v>13.896433625198142</v>
      </c>
      <c r="AI113" s="9">
        <v>8.7782943610542183</v>
      </c>
      <c r="AJ113" s="9">
        <v>2.4903887052694205</v>
      </c>
      <c r="AK113" s="9">
        <v>0.71071845188297222</v>
      </c>
      <c r="AL113" s="9">
        <v>1.5894589450232082</v>
      </c>
      <c r="AM113" s="9">
        <v>6.0877684098251486</v>
      </c>
      <c r="AN113" s="9">
        <v>9.1513348645027381</v>
      </c>
      <c r="AO113" s="9">
        <v>9.6668882802944847</v>
      </c>
      <c r="AP113" s="9">
        <v>6.3504837661480762</v>
      </c>
      <c r="AQ113" s="9">
        <v>6.153986703149986</v>
      </c>
      <c r="AR113" s="9">
        <v>1.2809114771443337</v>
      </c>
      <c r="AS113" s="9">
        <v>6.0468474436596003</v>
      </c>
      <c r="AT113" s="9">
        <v>9.3001645490329903</v>
      </c>
      <c r="AU113" s="9">
        <v>14.066295829513409</v>
      </c>
      <c r="AV113" s="9">
        <v>8.8409893689514885</v>
      </c>
      <c r="AW113" s="9">
        <v>2.4656963843695991</v>
      </c>
      <c r="AX113" s="9">
        <v>0.65408017515549466</v>
      </c>
      <c r="AY113" s="9">
        <v>1.5985891591048627</v>
      </c>
      <c r="AZ113" s="9">
        <v>6.1376374154085962</v>
      </c>
      <c r="BA113" s="9">
        <v>9.2528190031475894</v>
      </c>
      <c r="BB113" s="9">
        <v>9.7557232655822332</v>
      </c>
      <c r="BC113" s="9">
        <v>6.3772497639771109</v>
      </c>
      <c r="BD113" s="9">
        <v>6.1770024762854128</v>
      </c>
    </row>
    <row r="114" spans="3:56" x14ac:dyDescent="0.25">
      <c r="C114" s="111">
        <v>34.3035</v>
      </c>
      <c r="F114" s="111">
        <v>6.7190000000000003</v>
      </c>
      <c r="G114" s="112">
        <v>514</v>
      </c>
      <c r="J114" s="111">
        <v>2309.4699999999998</v>
      </c>
      <c r="K114" s="111">
        <v>2305.58</v>
      </c>
      <c r="L114" s="91">
        <v>7.5506278793246411</v>
      </c>
      <c r="M114" s="12">
        <v>1263.2145790704683</v>
      </c>
      <c r="N114" s="11">
        <v>62.215438610456971</v>
      </c>
      <c r="O114" s="11">
        <v>2199.798427097543</v>
      </c>
      <c r="P114" s="11">
        <v>43.566134291999937</v>
      </c>
      <c r="Q114" s="11">
        <v>0.9443580847782006</v>
      </c>
      <c r="R114" s="11">
        <v>0.60063570821489265</v>
      </c>
      <c r="S114" s="13">
        <v>18.850211943419954</v>
      </c>
      <c r="T114" s="14">
        <v>1029.259063710158</v>
      </c>
      <c r="U114" s="91">
        <v>7.5965013526042133</v>
      </c>
      <c r="V114" s="12">
        <v>1184.6103298656544</v>
      </c>
      <c r="W114" s="11">
        <v>62.008855146731221</v>
      </c>
      <c r="X114" s="11">
        <v>2199.9607416031499</v>
      </c>
      <c r="Y114" s="11">
        <v>43.610403250118637</v>
      </c>
      <c r="Z114" s="11">
        <v>1.0448661775373222</v>
      </c>
      <c r="AA114" s="11">
        <v>0.65898730192267152</v>
      </c>
      <c r="AB114" s="13">
        <v>18.909403871356339</v>
      </c>
      <c r="AC114" s="14">
        <v>1027.1231824469742</v>
      </c>
      <c r="AD114" s="15">
        <v>4</v>
      </c>
      <c r="AE114" s="9">
        <v>1.3075789621401639</v>
      </c>
      <c r="AF114" s="9">
        <v>6.0021431593318653</v>
      </c>
      <c r="AG114" s="9">
        <v>9.253861740656383</v>
      </c>
      <c r="AH114" s="9">
        <v>13.968061240374896</v>
      </c>
      <c r="AI114" s="9">
        <v>8.790292408028149</v>
      </c>
      <c r="AJ114" s="9">
        <v>2.470898655239075</v>
      </c>
      <c r="AK114" s="9">
        <v>0.66993483360829298</v>
      </c>
      <c r="AL114" s="9">
        <v>1.5845707278115873</v>
      </c>
      <c r="AM114" s="9">
        <v>6.0975318960947416</v>
      </c>
      <c r="AN114" s="9">
        <v>9.1858829396132364</v>
      </c>
      <c r="AO114" s="9">
        <v>9.6921276310688818</v>
      </c>
      <c r="AP114" s="9">
        <v>6.3325311618449058</v>
      </c>
      <c r="AQ114" s="9">
        <v>6.136005606862196</v>
      </c>
      <c r="AR114" s="9">
        <v>1.281121802237049</v>
      </c>
      <c r="AS114" s="9">
        <v>6.0465401348726964</v>
      </c>
      <c r="AT114" s="9">
        <v>9.2993261810304091</v>
      </c>
      <c r="AU114" s="9">
        <v>14.06578557089016</v>
      </c>
      <c r="AV114" s="9">
        <v>8.8405473663580025</v>
      </c>
      <c r="AW114" s="9">
        <v>2.4650417067127801</v>
      </c>
      <c r="AX114" s="9">
        <v>0.65316079887104694</v>
      </c>
      <c r="AY114" s="9">
        <v>1.598392553838258</v>
      </c>
      <c r="AZ114" s="9">
        <v>6.1372731859116758</v>
      </c>
      <c r="BA114" s="9">
        <v>9.2533938139189704</v>
      </c>
      <c r="BB114" s="9">
        <v>9.7555445637352225</v>
      </c>
      <c r="BC114" s="9">
        <v>6.376014053741268</v>
      </c>
      <c r="BD114" s="9">
        <v>6.1758304287289345</v>
      </c>
    </row>
    <row r="115" spans="3:56" x14ac:dyDescent="0.25">
      <c r="C115" s="111">
        <v>33.5334</v>
      </c>
      <c r="F115" s="111">
        <v>10.836</v>
      </c>
      <c r="G115" s="112">
        <v>2</v>
      </c>
      <c r="J115" s="111">
        <v>2249.7399999999998</v>
      </c>
      <c r="K115" s="111">
        <v>2105.1799999999998</v>
      </c>
      <c r="L115" s="91">
        <v>7.9557205951608223</v>
      </c>
      <c r="M115" s="12">
        <v>486.04671113577922</v>
      </c>
      <c r="N115" s="11">
        <v>20.925822502318404</v>
      </c>
      <c r="O115" s="11">
        <v>1973.3189520024732</v>
      </c>
      <c r="P115" s="11">
        <v>110.93522549520817</v>
      </c>
      <c r="Q115" s="11">
        <v>2.665128410037815</v>
      </c>
      <c r="R115" s="11">
        <v>1.6932706810274598</v>
      </c>
      <c r="S115" s="13">
        <v>14.03672303718297</v>
      </c>
      <c r="T115" s="14">
        <v>1025.6721500648716</v>
      </c>
      <c r="U115" s="91">
        <v>8.0475025251083494</v>
      </c>
      <c r="V115" s="12">
        <v>377.62072734892655</v>
      </c>
      <c r="W115" s="11">
        <v>19.856581223320539</v>
      </c>
      <c r="X115" s="11">
        <v>1976.6337667382425</v>
      </c>
      <c r="Y115" s="11">
        <v>108.6896520384368</v>
      </c>
      <c r="Z115" s="11">
        <v>2.6148864042113318</v>
      </c>
      <c r="AA115" s="11">
        <v>1.6467804031594724</v>
      </c>
      <c r="AB115" s="13">
        <v>14.209890341009261</v>
      </c>
      <c r="AC115" s="14">
        <v>1026.5127047589485</v>
      </c>
      <c r="AD115" s="15">
        <v>4</v>
      </c>
      <c r="AE115" s="9">
        <v>1.3659954715842153</v>
      </c>
      <c r="AF115" s="9">
        <v>5.9812058454487049</v>
      </c>
      <c r="AG115" s="9">
        <v>9.2058484115980903</v>
      </c>
      <c r="AH115" s="9">
        <v>13.806772059893053</v>
      </c>
      <c r="AI115" s="9">
        <v>8.7681752817647567</v>
      </c>
      <c r="AJ115" s="9">
        <v>2.5221919920358999</v>
      </c>
      <c r="AK115" s="9">
        <v>0.77193560855518895</v>
      </c>
      <c r="AL115" s="9">
        <v>1.5992461243271323</v>
      </c>
      <c r="AM115" s="9">
        <v>6.0803365881745002</v>
      </c>
      <c r="AN115" s="9">
        <v>9.1046000325639209</v>
      </c>
      <c r="AO115" s="9">
        <v>9.6375598455114666</v>
      </c>
      <c r="AP115" s="9">
        <v>6.3870529974706898</v>
      </c>
      <c r="AQ115" s="9">
        <v>6.1900612472540884</v>
      </c>
      <c r="AR115" s="9">
        <v>1.2791513478100427</v>
      </c>
      <c r="AS115" s="9">
        <v>6.0494807915882474</v>
      </c>
      <c r="AT115" s="9">
        <v>9.3072405368360283</v>
      </c>
      <c r="AU115" s="9">
        <v>14.070617643530037</v>
      </c>
      <c r="AV115" s="9">
        <v>8.8447360452187436</v>
      </c>
      <c r="AW115" s="9">
        <v>2.4712046335090014</v>
      </c>
      <c r="AX115" s="9">
        <v>0.66165790210859476</v>
      </c>
      <c r="AY115" s="9">
        <v>1.6002791113446351</v>
      </c>
      <c r="AZ115" s="9">
        <v>6.1407985883683152</v>
      </c>
      <c r="BA115" s="9">
        <v>9.248425209635359</v>
      </c>
      <c r="BB115" s="9">
        <v>9.757257077430884</v>
      </c>
      <c r="BC115" s="9">
        <v>6.3876689577205124</v>
      </c>
      <c r="BD115" s="9">
        <v>6.1868518209219463</v>
      </c>
    </row>
    <row r="116" spans="3:56" x14ac:dyDescent="0.25">
      <c r="C116" s="111">
        <v>33.613500000000002</v>
      </c>
      <c r="F116" s="111">
        <v>10.185</v>
      </c>
      <c r="G116" s="112">
        <v>29</v>
      </c>
      <c r="J116" s="111">
        <v>2234.4</v>
      </c>
      <c r="K116" s="111">
        <v>2147.2600000000002</v>
      </c>
      <c r="L116" s="91">
        <v>7.8030321075084537</v>
      </c>
      <c r="M116" s="12">
        <v>707.78946314024915</v>
      </c>
      <c r="N116" s="11">
        <v>31.115469900027989</v>
      </c>
      <c r="O116" s="11">
        <v>2037.3120169303959</v>
      </c>
      <c r="P116" s="11">
        <v>78.832513169576458</v>
      </c>
      <c r="Q116" s="11">
        <v>1.8834928685549941</v>
      </c>
      <c r="R116" s="11">
        <v>1.1958745370743658</v>
      </c>
      <c r="S116" s="13">
        <v>16.505885495317319</v>
      </c>
      <c r="T116" s="14">
        <v>1025.9698068507114</v>
      </c>
      <c r="U116" s="91">
        <v>7.883330367732559</v>
      </c>
      <c r="V116" s="12">
        <v>568.71951953049131</v>
      </c>
      <c r="W116" s="11">
        <v>29.89109567789615</v>
      </c>
      <c r="X116" s="11">
        <v>2040.3454505154157</v>
      </c>
      <c r="Y116" s="11">
        <v>77.02345380668848</v>
      </c>
      <c r="Z116" s="11">
        <v>1.8522653735779191</v>
      </c>
      <c r="AA116" s="11">
        <v>1.1666909499572475</v>
      </c>
      <c r="AB116" s="13">
        <v>16.780955469677576</v>
      </c>
      <c r="AC116" s="14">
        <v>1026.5761940742302</v>
      </c>
      <c r="AD116" s="15">
        <v>4</v>
      </c>
      <c r="AE116" s="9">
        <v>1.3569277290045367</v>
      </c>
      <c r="AF116" s="9">
        <v>5.9869509246657824</v>
      </c>
      <c r="AG116" s="9">
        <v>9.2153842823240986</v>
      </c>
      <c r="AH116" s="9">
        <v>13.83400635741423</v>
      </c>
      <c r="AI116" s="9">
        <v>8.7746587753728118</v>
      </c>
      <c r="AJ116" s="9">
        <v>2.5154643513922013</v>
      </c>
      <c r="AK116" s="9">
        <v>0.75836201518357815</v>
      </c>
      <c r="AL116" s="9">
        <v>1.5982983040298284</v>
      </c>
      <c r="AM116" s="9">
        <v>6.0852077288791024</v>
      </c>
      <c r="AN116" s="9">
        <v>9.1194772988380546</v>
      </c>
      <c r="AO116" s="9">
        <v>9.6488927369115824</v>
      </c>
      <c r="AP116" s="9">
        <v>6.38362679099854</v>
      </c>
      <c r="AQ116" s="9">
        <v>6.1863484296741653</v>
      </c>
      <c r="AR116" s="9">
        <v>1.2793562996339658</v>
      </c>
      <c r="AS116" s="9">
        <v>6.049168498444617</v>
      </c>
      <c r="AT116" s="9">
        <v>9.3064110827923265</v>
      </c>
      <c r="AU116" s="9">
        <v>14.070109609858092</v>
      </c>
      <c r="AV116" s="9">
        <v>8.8442953649475271</v>
      </c>
      <c r="AW116" s="9">
        <v>2.4705605051584567</v>
      </c>
      <c r="AX116" s="9">
        <v>0.66078595473399671</v>
      </c>
      <c r="AY116" s="9">
        <v>1.6000781867615153</v>
      </c>
      <c r="AZ116" s="9">
        <v>6.1404199990395529</v>
      </c>
      <c r="BA116" s="9">
        <v>9.2488981539313446</v>
      </c>
      <c r="BB116" s="9">
        <v>9.7570749192343147</v>
      </c>
      <c r="BC116" s="9">
        <v>6.386448402001184</v>
      </c>
      <c r="BD116" s="9">
        <v>6.1857010229903135</v>
      </c>
    </row>
    <row r="117" spans="3:56" x14ac:dyDescent="0.25">
      <c r="C117" s="111">
        <v>33.695999999999998</v>
      </c>
      <c r="F117" s="111">
        <v>9.8179999999999996</v>
      </c>
      <c r="G117" s="112">
        <v>50</v>
      </c>
      <c r="J117" s="111">
        <v>2239.5100000000002</v>
      </c>
      <c r="K117" s="111">
        <v>2165.9699999999998</v>
      </c>
      <c r="L117" s="91">
        <v>7.7640002935203771</v>
      </c>
      <c r="M117" s="12">
        <v>778.75872980334384</v>
      </c>
      <c r="N117" s="11">
        <v>34.636873170064831</v>
      </c>
      <c r="O117" s="11">
        <v>2059.3048795028999</v>
      </c>
      <c r="P117" s="11">
        <v>72.028247327035032</v>
      </c>
      <c r="Q117" s="11">
        <v>1.7133521401882852</v>
      </c>
      <c r="R117" s="11">
        <v>1.0876158045405671</v>
      </c>
      <c r="S117" s="13">
        <v>17.107346297806185</v>
      </c>
      <c r="T117" s="14">
        <v>1026.1913993450066</v>
      </c>
      <c r="U117" s="91">
        <v>7.8388519343001759</v>
      </c>
      <c r="V117" s="12">
        <v>636.61664564849491</v>
      </c>
      <c r="W117" s="11">
        <v>33.443413426769474</v>
      </c>
      <c r="X117" s="11">
        <v>2062.1208962750229</v>
      </c>
      <c r="Y117" s="11">
        <v>70.405690298207091</v>
      </c>
      <c r="Z117" s="11">
        <v>1.6923785857491687</v>
      </c>
      <c r="AA117" s="11">
        <v>1.0661567314919214</v>
      </c>
      <c r="AB117" s="13">
        <v>17.395253481261324</v>
      </c>
      <c r="AC117" s="14">
        <v>1026.6415876129636</v>
      </c>
      <c r="AD117" s="15">
        <v>4</v>
      </c>
      <c r="AE117" s="9">
        <v>1.3518642487365176</v>
      </c>
      <c r="AF117" s="9">
        <v>5.9898183243209093</v>
      </c>
      <c r="AG117" s="9">
        <v>9.2202180949136299</v>
      </c>
      <c r="AH117" s="9">
        <v>13.848981848771704</v>
      </c>
      <c r="AI117" s="9">
        <v>8.7778221555307567</v>
      </c>
      <c r="AJ117" s="9">
        <v>2.5112547099721914</v>
      </c>
      <c r="AK117" s="9">
        <v>0.75010522193860429</v>
      </c>
      <c r="AL117" s="9">
        <v>1.5975358721580781</v>
      </c>
      <c r="AM117" s="9">
        <v>6.0875752382740078</v>
      </c>
      <c r="AN117" s="9">
        <v>9.1278235497654485</v>
      </c>
      <c r="AO117" s="9">
        <v>9.6549359821575429</v>
      </c>
      <c r="AP117" s="9">
        <v>6.3806473532468626</v>
      </c>
      <c r="AQ117" s="9">
        <v>6.1832762317018402</v>
      </c>
      <c r="AR117" s="9">
        <v>1.2795673923365083</v>
      </c>
      <c r="AS117" s="9">
        <v>6.0488484087750294</v>
      </c>
      <c r="AT117" s="9">
        <v>9.3055582965214914</v>
      </c>
      <c r="AU117" s="9">
        <v>14.069587685929358</v>
      </c>
      <c r="AV117" s="9">
        <v>8.8438427020661887</v>
      </c>
      <c r="AW117" s="9">
        <v>2.4698978382965944</v>
      </c>
      <c r="AX117" s="9">
        <v>0.65988506796621538</v>
      </c>
      <c r="AY117" s="9">
        <v>1.5998723927623379</v>
      </c>
      <c r="AZ117" s="9">
        <v>6.1400329813592389</v>
      </c>
      <c r="BA117" s="9">
        <v>9.2493960082266966</v>
      </c>
      <c r="BB117" s="9">
        <v>9.756888291615649</v>
      </c>
      <c r="BC117" s="9">
        <v>6.3851933295039611</v>
      </c>
      <c r="BD117" s="9">
        <v>6.1845168613889623</v>
      </c>
    </row>
    <row r="118" spans="3:56" x14ac:dyDescent="0.25">
      <c r="C118" s="111">
        <v>33.696800000000003</v>
      </c>
      <c r="F118" s="111">
        <v>9.8040000000000003</v>
      </c>
      <c r="G118" s="112">
        <v>61</v>
      </c>
      <c r="J118" s="111">
        <v>2238.06</v>
      </c>
      <c r="K118" s="111">
        <v>2166.1999999999998</v>
      </c>
      <c r="L118" s="91">
        <v>7.7585024191853318</v>
      </c>
      <c r="M118" s="12">
        <v>787.96221144662957</v>
      </c>
      <c r="N118" s="11">
        <v>35.062332866774277</v>
      </c>
      <c r="O118" s="11">
        <v>2059.9770521676082</v>
      </c>
      <c r="P118" s="11">
        <v>71.160614965617285</v>
      </c>
      <c r="Q118" s="11">
        <v>1.6892618286039209</v>
      </c>
      <c r="R118" s="11">
        <v>1.0724403546192307</v>
      </c>
      <c r="S118" s="13">
        <v>17.173658238259659</v>
      </c>
      <c r="T118" s="14">
        <v>1026.2442252184187</v>
      </c>
      <c r="U118" s="91">
        <v>7.8334751365263351</v>
      </c>
      <c r="V118" s="12">
        <v>644.74770802878834</v>
      </c>
      <c r="W118" s="11">
        <v>33.870403283347621</v>
      </c>
      <c r="X118" s="11">
        <v>2062.7670788112573</v>
      </c>
      <c r="Y118" s="11">
        <v>69.562517905394515</v>
      </c>
      <c r="Z118" s="11">
        <v>1.6721036869035455</v>
      </c>
      <c r="AA118" s="11">
        <v>1.0533857022552939</v>
      </c>
      <c r="AB118" s="13">
        <v>17.463722417238149</v>
      </c>
      <c r="AC118" s="14">
        <v>1026.6422217416928</v>
      </c>
      <c r="AD118" s="15">
        <v>4</v>
      </c>
      <c r="AE118" s="9">
        <v>1.3516645819571182</v>
      </c>
      <c r="AF118" s="9">
        <v>5.9894808451977912</v>
      </c>
      <c r="AG118" s="9">
        <v>9.2201251090326153</v>
      </c>
      <c r="AH118" s="9">
        <v>13.849211672579598</v>
      </c>
      <c r="AI118" s="9">
        <v>8.7774266056076602</v>
      </c>
      <c r="AJ118" s="9">
        <v>2.5109256794705228</v>
      </c>
      <c r="AK118" s="9">
        <v>0.74948220371207808</v>
      </c>
      <c r="AL118" s="9">
        <v>1.5972623302292313</v>
      </c>
      <c r="AM118" s="9">
        <v>6.0872708085729643</v>
      </c>
      <c r="AN118" s="9">
        <v>9.1276630448568721</v>
      </c>
      <c r="AO118" s="9">
        <v>9.6546430150193085</v>
      </c>
      <c r="AP118" s="9">
        <v>6.3797505343109266</v>
      </c>
      <c r="AQ118" s="9">
        <v>6.1824267132610107</v>
      </c>
      <c r="AR118" s="9">
        <v>1.2795694392960482</v>
      </c>
      <c r="AS118" s="9">
        <v>6.0488453126272512</v>
      </c>
      <c r="AT118" s="9">
        <v>9.3055500346309916</v>
      </c>
      <c r="AU118" s="9">
        <v>14.069582631448474</v>
      </c>
      <c r="AV118" s="9">
        <v>8.8438383186663128</v>
      </c>
      <c r="AW118" s="9">
        <v>2.4698914162080889</v>
      </c>
      <c r="AX118" s="9">
        <v>0.65987631803063407</v>
      </c>
      <c r="AY118" s="9">
        <v>1.5998704028871682</v>
      </c>
      <c r="AZ118" s="9">
        <v>6.1400292429071319</v>
      </c>
      <c r="BA118" s="9">
        <v>9.2494008891259103</v>
      </c>
      <c r="BB118" s="9">
        <v>9.7568864867916911</v>
      </c>
      <c r="BC118" s="9">
        <v>6.3851811692551372</v>
      </c>
      <c r="BD118" s="9">
        <v>6.1845053841047264</v>
      </c>
    </row>
    <row r="119" spans="3:56" x14ac:dyDescent="0.25">
      <c r="C119" s="111">
        <v>33.243200000000002</v>
      </c>
      <c r="F119" s="111">
        <v>13.565</v>
      </c>
      <c r="G119" s="112">
        <v>2</v>
      </c>
      <c r="J119" s="111">
        <v>2225.29</v>
      </c>
      <c r="K119" s="111">
        <v>2026.45</v>
      </c>
      <c r="L119" s="91">
        <v>8.0496018849518514</v>
      </c>
      <c r="M119" s="12">
        <v>378.00268645025091</v>
      </c>
      <c r="N119" s="11">
        <v>14.944062113872041</v>
      </c>
      <c r="O119" s="11">
        <v>1867.4868422823329</v>
      </c>
      <c r="P119" s="11">
        <v>144.01909560379505</v>
      </c>
      <c r="Q119" s="11">
        <v>3.4689584043361812</v>
      </c>
      <c r="R119" s="11">
        <v>2.2141525943821292</v>
      </c>
      <c r="S119" s="13">
        <v>11.964953383323641</v>
      </c>
      <c r="T119" s="14">
        <v>1024.9285303921795</v>
      </c>
      <c r="U119" s="91">
        <v>8.1855729363869862</v>
      </c>
      <c r="V119" s="12">
        <v>260.50709402501411</v>
      </c>
      <c r="W119" s="11">
        <v>13.721789132681955</v>
      </c>
      <c r="X119" s="11">
        <v>1872.2289358783389</v>
      </c>
      <c r="Y119" s="11">
        <v>140.4992749889791</v>
      </c>
      <c r="Z119" s="11">
        <v>3.3853430204486288</v>
      </c>
      <c r="AA119" s="11">
        <v>2.1307147532352619</v>
      </c>
      <c r="AB119" s="13">
        <v>12.117661552198683</v>
      </c>
      <c r="AC119" s="14">
        <v>1026.2827001061264</v>
      </c>
      <c r="AD119" s="15">
        <v>4</v>
      </c>
      <c r="AE119" s="9">
        <v>1.4030262223598562</v>
      </c>
      <c r="AF119" s="9">
        <v>5.9528129983564391</v>
      </c>
      <c r="AG119" s="9">
        <v>9.162439356193504</v>
      </c>
      <c r="AH119" s="9">
        <v>13.690271759288537</v>
      </c>
      <c r="AI119" s="9">
        <v>8.7353925842165889</v>
      </c>
      <c r="AJ119" s="9">
        <v>2.5476786920348062</v>
      </c>
      <c r="AK119" s="9">
        <v>0.82353635043214723</v>
      </c>
      <c r="AL119" s="9">
        <v>1.6008268563685739</v>
      </c>
      <c r="AM119" s="9">
        <v>6.0562712063733644</v>
      </c>
      <c r="AN119" s="9">
        <v>9.0383597208547712</v>
      </c>
      <c r="AO119" s="9">
        <v>9.5852161948101511</v>
      </c>
      <c r="AP119" s="9">
        <v>6.391958109047831</v>
      </c>
      <c r="AQ119" s="9">
        <v>6.1969665648887284</v>
      </c>
      <c r="AR119" s="9">
        <v>1.278408813236978</v>
      </c>
      <c r="AS119" s="9">
        <v>6.0506247243657958</v>
      </c>
      <c r="AT119" s="9">
        <v>9.3102578063215375</v>
      </c>
      <c r="AU119" s="9">
        <v>14.072468975496186</v>
      </c>
      <c r="AV119" s="9">
        <v>8.8463424400678523</v>
      </c>
      <c r="AW119" s="9">
        <v>2.4735444330441845</v>
      </c>
      <c r="AX119" s="9">
        <v>0.66479479123766838</v>
      </c>
      <c r="AY119" s="9">
        <v>1.6010163366762302</v>
      </c>
      <c r="AZ119" s="9">
        <v>6.1421937177302235</v>
      </c>
      <c r="BA119" s="9">
        <v>9.2467983607029289</v>
      </c>
      <c r="BB119" s="9">
        <v>9.7579250051653332</v>
      </c>
      <c r="BC119" s="9">
        <v>6.3921076931103809</v>
      </c>
      <c r="BD119" s="9">
        <v>6.1910303258751718</v>
      </c>
    </row>
    <row r="120" spans="3:56" x14ac:dyDescent="0.25">
      <c r="C120" s="111">
        <v>33.246000000000002</v>
      </c>
      <c r="F120" s="111">
        <v>13.57</v>
      </c>
      <c r="G120" s="112">
        <v>15</v>
      </c>
      <c r="J120" s="111">
        <v>2224.4899999999998</v>
      </c>
      <c r="K120" s="111">
        <v>2025.53</v>
      </c>
      <c r="L120" s="91">
        <v>8.0493894595499977</v>
      </c>
      <c r="M120" s="12">
        <v>377.52045475676499</v>
      </c>
      <c r="N120" s="11">
        <v>14.92244047418732</v>
      </c>
      <c r="O120" s="11">
        <v>1866.5656772457744</v>
      </c>
      <c r="P120" s="11">
        <v>144.0418822800381</v>
      </c>
      <c r="Q120" s="11">
        <v>3.4616010831714092</v>
      </c>
      <c r="R120" s="11">
        <v>2.209829264645617</v>
      </c>
      <c r="S120" s="13">
        <v>11.958748435393922</v>
      </c>
      <c r="T120" s="14">
        <v>1024.9878098019537</v>
      </c>
      <c r="U120" s="91">
        <v>8.1859112670587297</v>
      </c>
      <c r="V120" s="12">
        <v>260.16982060490591</v>
      </c>
      <c r="W120" s="11">
        <v>13.703797734512726</v>
      </c>
      <c r="X120" s="11">
        <v>1871.2793000979991</v>
      </c>
      <c r="Y120" s="11">
        <v>140.54690216748787</v>
      </c>
      <c r="Z120" s="11">
        <v>3.386440886953205</v>
      </c>
      <c r="AA120" s="11">
        <v>2.1314183419106936</v>
      </c>
      <c r="AB120" s="13">
        <v>12.110958555258504</v>
      </c>
      <c r="AC120" s="14">
        <v>1026.2849191960486</v>
      </c>
      <c r="AD120" s="15">
        <v>4</v>
      </c>
      <c r="AE120" s="9">
        <v>1.4031006323205815</v>
      </c>
      <c r="AF120" s="9">
        <v>5.9521860390320551</v>
      </c>
      <c r="AG120" s="9">
        <v>9.16194394731078</v>
      </c>
      <c r="AH120" s="9">
        <v>13.689593178048138</v>
      </c>
      <c r="AI120" s="9">
        <v>8.7346568242413714</v>
      </c>
      <c r="AJ120" s="9">
        <v>2.5474595205608468</v>
      </c>
      <c r="AK120" s="9">
        <v>0.82318930687660674</v>
      </c>
      <c r="AL120" s="9">
        <v>1.6005143334076875</v>
      </c>
      <c r="AM120" s="9">
        <v>6.0557078672452018</v>
      </c>
      <c r="AN120" s="9">
        <v>9.0376735542013193</v>
      </c>
      <c r="AO120" s="9">
        <v>9.584456501574607</v>
      </c>
      <c r="AP120" s="9">
        <v>6.3909307481391293</v>
      </c>
      <c r="AQ120" s="9">
        <v>6.1960124506673511</v>
      </c>
      <c r="AR120" s="9">
        <v>1.2784159775953672</v>
      </c>
      <c r="AS120" s="9">
        <v>6.0506135934622263</v>
      </c>
      <c r="AT120" s="9">
        <v>9.3102286029086905</v>
      </c>
      <c r="AU120" s="9">
        <v>14.072451032011971</v>
      </c>
      <c r="AV120" s="9">
        <v>8.8463268669374866</v>
      </c>
      <c r="AW120" s="9">
        <v>2.4735218111947734</v>
      </c>
      <c r="AX120" s="9">
        <v>0.66476468841262748</v>
      </c>
      <c r="AY120" s="9">
        <v>1.6010091536578477</v>
      </c>
      <c r="AZ120" s="9">
        <v>6.142180079766014</v>
      </c>
      <c r="BA120" s="9">
        <v>9.2468134051962032</v>
      </c>
      <c r="BB120" s="9">
        <v>9.757918500602786</v>
      </c>
      <c r="BC120" s="9">
        <v>6.3920647393742991</v>
      </c>
      <c r="BD120" s="9">
        <v>6.1909899391016685</v>
      </c>
    </row>
    <row r="121" spans="3:56" x14ac:dyDescent="0.25">
      <c r="C121" s="111">
        <v>33.262099999999997</v>
      </c>
      <c r="F121" s="111">
        <v>13.242000000000001</v>
      </c>
      <c r="G121" s="112">
        <v>31</v>
      </c>
      <c r="J121" s="111">
        <v>2226.9299999999998</v>
      </c>
      <c r="K121" s="111">
        <v>2031.97</v>
      </c>
      <c r="L121" s="91">
        <v>8.0444837446020134</v>
      </c>
      <c r="M121" s="12">
        <v>382.09174832438077</v>
      </c>
      <c r="N121" s="11">
        <v>15.257070624328101</v>
      </c>
      <c r="O121" s="11">
        <v>1875.236016458781</v>
      </c>
      <c r="P121" s="11">
        <v>141.47691291689091</v>
      </c>
      <c r="Q121" s="11">
        <v>3.389552065712266</v>
      </c>
      <c r="R121" s="11">
        <v>2.1628861383826328</v>
      </c>
      <c r="S121" s="13">
        <v>12.097635635277188</v>
      </c>
      <c r="T121" s="14">
        <v>1025.1380337454998</v>
      </c>
      <c r="U121" s="91">
        <v>8.1763606511002536</v>
      </c>
      <c r="V121" s="12">
        <v>267.14246874644152</v>
      </c>
      <c r="W121" s="11">
        <v>14.069729970959511</v>
      </c>
      <c r="X121" s="11">
        <v>1879.7356901845924</v>
      </c>
      <c r="Y121" s="11">
        <v>138.16457984444821</v>
      </c>
      <c r="Z121" s="11">
        <v>3.3287583642553784</v>
      </c>
      <c r="AA121" s="11">
        <v>2.0951841946540153</v>
      </c>
      <c r="AB121" s="13">
        <v>12.248411317789389</v>
      </c>
      <c r="AC121" s="14">
        <v>1026.2976790061323</v>
      </c>
      <c r="AD121" s="15">
        <v>4</v>
      </c>
      <c r="AE121" s="9">
        <v>1.398696502174031</v>
      </c>
      <c r="AF121" s="9">
        <v>5.9548989655343325</v>
      </c>
      <c r="AG121" s="9">
        <v>9.1668541054705202</v>
      </c>
      <c r="AH121" s="9">
        <v>13.7030149735498</v>
      </c>
      <c r="AI121" s="9">
        <v>8.7378497311762757</v>
      </c>
      <c r="AJ121" s="9">
        <v>2.5442773623211208</v>
      </c>
      <c r="AK121" s="9">
        <v>0.81674718468579577</v>
      </c>
      <c r="AL121" s="9">
        <v>1.5999583058286457</v>
      </c>
      <c r="AM121" s="9">
        <v>6.0579891148587199</v>
      </c>
      <c r="AN121" s="9">
        <v>9.0447636378517586</v>
      </c>
      <c r="AO121" s="9">
        <v>9.5898850558343671</v>
      </c>
      <c r="AP121" s="9">
        <v>6.389388988193323</v>
      </c>
      <c r="AQ121" s="9">
        <v>6.1942803361677905</v>
      </c>
      <c r="AR121" s="9">
        <v>1.2784571726561058</v>
      </c>
      <c r="AS121" s="9">
        <v>6.0505496261815352</v>
      </c>
      <c r="AT121" s="9">
        <v>9.3100607177867669</v>
      </c>
      <c r="AU121" s="9">
        <v>14.072347887683339</v>
      </c>
      <c r="AV121" s="9">
        <v>8.8462373494122222</v>
      </c>
      <c r="AW121" s="9">
        <v>2.4733917531237486</v>
      </c>
      <c r="AX121" s="9">
        <v>0.66459153600607901</v>
      </c>
      <c r="AY121" s="9">
        <v>1.6009678778360392</v>
      </c>
      <c r="AZ121" s="9">
        <v>6.1421017286863577</v>
      </c>
      <c r="BA121" s="9">
        <v>9.2469001586503712</v>
      </c>
      <c r="BB121" s="9">
        <v>9.7578811221697084</v>
      </c>
      <c r="BC121" s="9">
        <v>6.3918178036481637</v>
      </c>
      <c r="BD121" s="9">
        <v>6.1907577421990068</v>
      </c>
    </row>
    <row r="122" spans="3:56" x14ac:dyDescent="0.25">
      <c r="C122" s="111">
        <v>33.25</v>
      </c>
      <c r="F122" s="111">
        <v>11.574</v>
      </c>
      <c r="G122" s="112">
        <v>50</v>
      </c>
      <c r="J122" s="111">
        <v>2219.4499999999998</v>
      </c>
      <c r="K122" s="111">
        <v>2078.21</v>
      </c>
      <c r="L122" s="91">
        <v>7.9406176910214841</v>
      </c>
      <c r="M122" s="12">
        <v>497.60290067825343</v>
      </c>
      <c r="N122" s="11">
        <v>20.95113933236556</v>
      </c>
      <c r="O122" s="11">
        <v>1948.7162063417329</v>
      </c>
      <c r="P122" s="11">
        <v>108.54265432590164</v>
      </c>
      <c r="Q122" s="11">
        <v>2.5899820204598463</v>
      </c>
      <c r="R122" s="11">
        <v>1.6477174041278309</v>
      </c>
      <c r="S122" s="13">
        <v>14.071863551401428</v>
      </c>
      <c r="T122" s="14">
        <v>1025.5349728474805</v>
      </c>
      <c r="U122" s="91">
        <v>8.045463936713757</v>
      </c>
      <c r="V122" s="12">
        <v>375.07011540324328</v>
      </c>
      <c r="W122" s="11">
        <v>19.755419203355949</v>
      </c>
      <c r="X122" s="11">
        <v>1952.3266880738056</v>
      </c>
      <c r="Y122" s="11">
        <v>106.12789272283858</v>
      </c>
      <c r="Z122" s="11">
        <v>2.5570702134649723</v>
      </c>
      <c r="AA122" s="11">
        <v>1.6094278722344211</v>
      </c>
      <c r="AB122" s="13">
        <v>14.269575853929959</v>
      </c>
      <c r="AC122" s="14">
        <v>1026.2880893283548</v>
      </c>
      <c r="AD122" s="15">
        <v>4</v>
      </c>
      <c r="AE122" s="9">
        <v>1.3756752582509695</v>
      </c>
      <c r="AF122" s="9">
        <v>5.9720767391496379</v>
      </c>
      <c r="AG122" s="9">
        <v>9.1947658502608434</v>
      </c>
      <c r="AH122" s="9">
        <v>13.774716254405512</v>
      </c>
      <c r="AI122" s="9">
        <v>8.7579287029047794</v>
      </c>
      <c r="AJ122" s="9">
        <v>2.5298994864255548</v>
      </c>
      <c r="AK122" s="9">
        <v>0.78643131218270579</v>
      </c>
      <c r="AL122" s="9">
        <v>1.5990301148230983</v>
      </c>
      <c r="AM122" s="9">
        <v>6.0728566313058652</v>
      </c>
      <c r="AN122" s="9">
        <v>9.083529378974271</v>
      </c>
      <c r="AO122" s="9">
        <v>9.6212537343422433</v>
      </c>
      <c r="AP122" s="9">
        <v>6.387786580408215</v>
      </c>
      <c r="AQ122" s="9">
        <v>6.1913725601617697</v>
      </c>
      <c r="AR122" s="9">
        <v>1.2784262123930665</v>
      </c>
      <c r="AS122" s="9">
        <v>6.0505976953371059</v>
      </c>
      <c r="AT122" s="9">
        <v>9.3101868868315698</v>
      </c>
      <c r="AU122" s="9">
        <v>14.072425401208315</v>
      </c>
      <c r="AV122" s="9">
        <v>8.8463046221092618</v>
      </c>
      <c r="AW122" s="9">
        <v>2.4734894958372773</v>
      </c>
      <c r="AX122" s="9">
        <v>0.66472167891228773</v>
      </c>
      <c r="AY122" s="9">
        <v>1.6009988945752691</v>
      </c>
      <c r="AZ122" s="9">
        <v>6.1421606029692954</v>
      </c>
      <c r="BA122" s="9">
        <v>9.2468349194676485</v>
      </c>
      <c r="BB122" s="9">
        <v>9.7579092104091512</v>
      </c>
      <c r="BC122" s="9">
        <v>6.392003381209407</v>
      </c>
      <c r="BD122" s="9">
        <v>6.1909322461301688</v>
      </c>
    </row>
    <row r="123" spans="3:56" x14ac:dyDescent="0.25">
      <c r="C123" s="111">
        <v>33.523899999999998</v>
      </c>
      <c r="F123" s="111">
        <v>9.5289999999999999</v>
      </c>
      <c r="G123" s="112">
        <v>100</v>
      </c>
      <c r="J123" s="111">
        <v>2227.7399999999998</v>
      </c>
      <c r="K123" s="111">
        <v>2141.02</v>
      </c>
      <c r="L123" s="91">
        <v>7.810314844732499</v>
      </c>
      <c r="M123" s="12">
        <v>686.11105317227236</v>
      </c>
      <c r="N123" s="11">
        <v>30.841398770528667</v>
      </c>
      <c r="O123" s="11">
        <v>2032.0593877445003</v>
      </c>
      <c r="P123" s="11">
        <v>78.11921348497107</v>
      </c>
      <c r="Q123" s="11">
        <v>1.842845155584582</v>
      </c>
      <c r="R123" s="11">
        <v>1.1695533591069982</v>
      </c>
      <c r="S123" s="13">
        <v>16.561348776320948</v>
      </c>
      <c r="T123" s="14">
        <v>1026.3317814364277</v>
      </c>
      <c r="U123" s="91">
        <v>7.8834770114090293</v>
      </c>
      <c r="V123" s="12">
        <v>567.06511254726831</v>
      </c>
      <c r="W123" s="11">
        <v>29.81987982597753</v>
      </c>
      <c r="X123" s="11">
        <v>2034.5340902025548</v>
      </c>
      <c r="Y123" s="11">
        <v>76.666029971467665</v>
      </c>
      <c r="Z123" s="11">
        <v>1.8445457923589585</v>
      </c>
      <c r="AA123" s="11">
        <v>1.1616197083647286</v>
      </c>
      <c r="AB123" s="13">
        <v>16.792631231707592</v>
      </c>
      <c r="AC123" s="14">
        <v>1026.5051749368913</v>
      </c>
      <c r="AD123" s="15">
        <v>4</v>
      </c>
      <c r="AE123" s="9">
        <v>1.3472603491453692</v>
      </c>
      <c r="AF123" s="9">
        <v>5.9915125151789228</v>
      </c>
      <c r="AG123" s="9">
        <v>9.2254933788579532</v>
      </c>
      <c r="AH123" s="9">
        <v>13.861227528621361</v>
      </c>
      <c r="AI123" s="9">
        <v>8.7799005235057024</v>
      </c>
      <c r="AJ123" s="9">
        <v>2.5092255076593681</v>
      </c>
      <c r="AK123" s="9">
        <v>0.74479936677837211</v>
      </c>
      <c r="AL123" s="9">
        <v>1.5967687779636839</v>
      </c>
      <c r="AM123" s="9">
        <v>6.0893164552995342</v>
      </c>
      <c r="AN123" s="9">
        <v>9.1317183594890636</v>
      </c>
      <c r="AO123" s="9">
        <v>9.6585246604187702</v>
      </c>
      <c r="AP123" s="9">
        <v>6.3792583652164838</v>
      </c>
      <c r="AQ123" s="9">
        <v>6.1817895605328603</v>
      </c>
      <c r="AR123" s="9">
        <v>1.2791270401655075</v>
      </c>
      <c r="AS123" s="9">
        <v>6.0495179291317163</v>
      </c>
      <c r="AT123" s="9">
        <v>9.3073390080125495</v>
      </c>
      <c r="AU123" s="9">
        <v>14.070677981931132</v>
      </c>
      <c r="AV123" s="9">
        <v>8.8447883882822946</v>
      </c>
      <c r="AW123" s="9">
        <v>2.4712810766880731</v>
      </c>
      <c r="AX123" s="9">
        <v>0.66176113922136681</v>
      </c>
      <c r="AY123" s="9">
        <v>1.6003030145609225</v>
      </c>
      <c r="AZ123" s="9">
        <v>6.1408436751757955</v>
      </c>
      <c r="BA123" s="9">
        <v>9.2483698008165529</v>
      </c>
      <c r="BB123" s="9">
        <v>9.7572787446005478</v>
      </c>
      <c r="BC123" s="9">
        <v>6.387813848830092</v>
      </c>
      <c r="BD123" s="9">
        <v>6.1869883791975981</v>
      </c>
    </row>
    <row r="124" spans="3:56" x14ac:dyDescent="0.25">
      <c r="C124" s="111">
        <v>33.982999999999997</v>
      </c>
      <c r="F124" s="111">
        <v>8.3049999999999997</v>
      </c>
      <c r="G124" s="112">
        <v>170</v>
      </c>
      <c r="J124" s="111">
        <v>2259.2199999999998</v>
      </c>
      <c r="K124" s="111">
        <v>2205.75</v>
      </c>
      <c r="L124" s="91">
        <v>7.7126505677142285</v>
      </c>
      <c r="M124" s="12">
        <v>873.305691663164</v>
      </c>
      <c r="N124" s="11">
        <v>40.7993378948157</v>
      </c>
      <c r="O124" s="11">
        <v>2102.4960303172456</v>
      </c>
      <c r="P124" s="11">
        <v>62.454631787938297</v>
      </c>
      <c r="Q124" s="11">
        <v>1.4497663837177059</v>
      </c>
      <c r="R124" s="11">
        <v>0.91987222357258502</v>
      </c>
      <c r="S124" s="13">
        <v>17.969088013034188</v>
      </c>
      <c r="T124" s="14">
        <v>1027.2046117700427</v>
      </c>
      <c r="U124" s="91">
        <v>7.7687951957309966</v>
      </c>
      <c r="V124" s="12">
        <v>762.6754195077034</v>
      </c>
      <c r="W124" s="11">
        <v>39.997975545585774</v>
      </c>
      <c r="X124" s="11">
        <v>2104.1950122929288</v>
      </c>
      <c r="Y124" s="11">
        <v>61.557012161485098</v>
      </c>
      <c r="Z124" s="11">
        <v>1.477408296672837</v>
      </c>
      <c r="AA124" s="11">
        <v>0.93124367508558936</v>
      </c>
      <c r="AB124" s="13">
        <v>18.180375456747917</v>
      </c>
      <c r="AC124" s="14">
        <v>1026.8690931359579</v>
      </c>
      <c r="AD124" s="15">
        <v>4</v>
      </c>
      <c r="AE124" s="9">
        <v>1.3305131753567221</v>
      </c>
      <c r="AF124" s="9">
        <v>6.0005684984988603</v>
      </c>
      <c r="AG124" s="9">
        <v>9.2398210999584212</v>
      </c>
      <c r="AH124" s="9">
        <v>13.910490538764305</v>
      </c>
      <c r="AI124" s="9">
        <v>8.7895250434995571</v>
      </c>
      <c r="AJ124" s="9">
        <v>2.4936336661852314</v>
      </c>
      <c r="AK124" s="9">
        <v>0.71499355438271706</v>
      </c>
      <c r="AL124" s="9">
        <v>1.5938371796325062</v>
      </c>
      <c r="AM124" s="9">
        <v>6.0965755134860231</v>
      </c>
      <c r="AN124" s="9">
        <v>9.1608129959884206</v>
      </c>
      <c r="AO124" s="9">
        <v>9.6785233954651542</v>
      </c>
      <c r="AP124" s="9">
        <v>6.3663535761570955</v>
      </c>
      <c r="AQ124" s="9">
        <v>6.1687830558906569</v>
      </c>
      <c r="AR124" s="9">
        <v>1.2803017390714138</v>
      </c>
      <c r="AS124" s="9">
        <v>6.0477472194376087</v>
      </c>
      <c r="AT124" s="9">
        <v>9.3026036505650698</v>
      </c>
      <c r="AU124" s="9">
        <v>14.067782481142801</v>
      </c>
      <c r="AV124" s="9">
        <v>8.8422776008994592</v>
      </c>
      <c r="AW124" s="9">
        <v>2.4675985369052884</v>
      </c>
      <c r="AX124" s="9">
        <v>0.65672845382055545</v>
      </c>
      <c r="AY124" s="9">
        <v>1.5991655161280269</v>
      </c>
      <c r="AZ124" s="9">
        <v>6.1387095211862128</v>
      </c>
      <c r="BA124" s="9">
        <v>9.2512122725390959</v>
      </c>
      <c r="BB124" s="9">
        <v>9.7562468149096802</v>
      </c>
      <c r="BC124" s="9">
        <v>6.3808432045783823</v>
      </c>
      <c r="BD124" s="9">
        <v>6.1804060071031142</v>
      </c>
    </row>
    <row r="125" spans="3:56" x14ac:dyDescent="0.25">
      <c r="C125" s="111">
        <v>34.050600000000003</v>
      </c>
      <c r="F125" s="111">
        <v>7.7679999999999998</v>
      </c>
      <c r="G125" s="112">
        <v>230</v>
      </c>
      <c r="J125" s="112">
        <v>2271</v>
      </c>
      <c r="K125" s="111">
        <v>2233.23</v>
      </c>
      <c r="L125" s="91">
        <v>7.6645802777447232</v>
      </c>
      <c r="M125" s="12">
        <v>978.37430706703901</v>
      </c>
      <c r="N125" s="11">
        <v>46.536194810923092</v>
      </c>
      <c r="O125" s="11">
        <v>2130.9123768476779</v>
      </c>
      <c r="P125" s="11">
        <v>55.781428341398957</v>
      </c>
      <c r="Q125" s="11">
        <v>1.2794745612127278</v>
      </c>
      <c r="R125" s="11">
        <v>0.81184997473225995</v>
      </c>
      <c r="S125" s="13">
        <v>18.459038693321407</v>
      </c>
      <c r="T125" s="14">
        <v>1027.6126722669346</v>
      </c>
      <c r="U125" s="91">
        <v>7.7146573056798289</v>
      </c>
      <c r="V125" s="12">
        <v>875.25474134254648</v>
      </c>
      <c r="W125" s="11">
        <v>45.883840869296591</v>
      </c>
      <c r="X125" s="11">
        <v>2132.1926290502247</v>
      </c>
      <c r="Y125" s="11">
        <v>55.153530080478646</v>
      </c>
      <c r="Z125" s="11">
        <v>1.3232390480440301</v>
      </c>
      <c r="AA125" s="11">
        <v>0.83417235230132825</v>
      </c>
      <c r="AB125" s="13">
        <v>18.639953092581813</v>
      </c>
      <c r="AC125" s="14">
        <v>1026.9226832725428</v>
      </c>
      <c r="AD125" s="15">
        <v>4</v>
      </c>
      <c r="AE125" s="9">
        <v>1.3227141703912848</v>
      </c>
      <c r="AF125" s="9">
        <v>6.0038055547076556</v>
      </c>
      <c r="AG125" s="9">
        <v>9.2466562389961577</v>
      </c>
      <c r="AH125" s="9">
        <v>13.932150862072655</v>
      </c>
      <c r="AI125" s="9">
        <v>8.7929867557042094</v>
      </c>
      <c r="AJ125" s="9">
        <v>2.487303675640534</v>
      </c>
      <c r="AK125" s="9">
        <v>0.70211892125345343</v>
      </c>
      <c r="AL125" s="9">
        <v>1.5922199724875263</v>
      </c>
      <c r="AM125" s="9">
        <v>6.0993417587593726</v>
      </c>
      <c r="AN125" s="9">
        <v>9.1716425528024423</v>
      </c>
      <c r="AO125" s="9">
        <v>9.686163806767297</v>
      </c>
      <c r="AP125" s="9">
        <v>6.3602991745065003</v>
      </c>
      <c r="AQ125" s="9">
        <v>6.1627433004335268</v>
      </c>
      <c r="AR125" s="9">
        <v>1.2804747071525275</v>
      </c>
      <c r="AS125" s="9">
        <v>6.0474906329183966</v>
      </c>
      <c r="AT125" s="9">
        <v>9.3019104288317767</v>
      </c>
      <c r="AU125" s="9">
        <v>14.067359631774064</v>
      </c>
      <c r="AV125" s="9">
        <v>8.841911122510842</v>
      </c>
      <c r="AW125" s="9">
        <v>2.4670583010753973</v>
      </c>
      <c r="AX125" s="9">
        <v>0.65597974911671419</v>
      </c>
      <c r="AY125" s="9">
        <v>1.5990010479529135</v>
      </c>
      <c r="AZ125" s="9">
        <v>6.1384029345743949</v>
      </c>
      <c r="BA125" s="9">
        <v>9.251659016028615</v>
      </c>
      <c r="BB125" s="9">
        <v>9.7560974642013409</v>
      </c>
      <c r="BC125" s="9">
        <v>6.3798221432346676</v>
      </c>
      <c r="BD125" s="9">
        <v>6.1794396265990921</v>
      </c>
    </row>
    <row r="126" spans="3:56" x14ac:dyDescent="0.25">
      <c r="C126" s="111">
        <v>34.106099999999998</v>
      </c>
      <c r="F126" s="111">
        <v>6.9889999999999999</v>
      </c>
      <c r="G126" s="112">
        <v>320</v>
      </c>
      <c r="J126" s="111">
        <v>2283.58</v>
      </c>
      <c r="K126" s="111">
        <v>2267.08</v>
      </c>
      <c r="L126" s="91">
        <v>7.5990327156947899</v>
      </c>
      <c r="M126" s="12">
        <v>1137.5487082573175</v>
      </c>
      <c r="N126" s="11">
        <v>55.565461200125142</v>
      </c>
      <c r="O126" s="11">
        <v>2163.9455633117586</v>
      </c>
      <c r="P126" s="11">
        <v>47.568975488115932</v>
      </c>
      <c r="Q126" s="11">
        <v>1.0717282756334121</v>
      </c>
      <c r="R126" s="11">
        <v>0.68007182856137427</v>
      </c>
      <c r="S126" s="13">
        <v>18.825776003179044</v>
      </c>
      <c r="T126" s="14">
        <v>1028.1812253131193</v>
      </c>
      <c r="U126" s="91">
        <v>7.640942338528391</v>
      </c>
      <c r="V126" s="12">
        <v>1052.7662621224829</v>
      </c>
      <c r="W126" s="11">
        <v>55.171557426207876</v>
      </c>
      <c r="X126" s="11">
        <v>2164.5958127071071</v>
      </c>
      <c r="Y126" s="11">
        <v>47.312629866685029</v>
      </c>
      <c r="Z126" s="11">
        <v>1.1347810653635211</v>
      </c>
      <c r="AA126" s="11">
        <v>0.715441254122406</v>
      </c>
      <c r="AB126" s="13">
        <v>18.9390398005769</v>
      </c>
      <c r="AC126" s="14">
        <v>1026.9666820853836</v>
      </c>
      <c r="AD126" s="15">
        <v>4</v>
      </c>
      <c r="AE126" s="9">
        <v>1.3111650782183508</v>
      </c>
      <c r="AF126" s="9">
        <v>6.008591307725947</v>
      </c>
      <c r="AG126" s="9">
        <v>9.256955249111499</v>
      </c>
      <c r="AH126" s="9">
        <v>13.963937456386992</v>
      </c>
      <c r="AI126" s="9">
        <v>8.7981035061165045</v>
      </c>
      <c r="AJ126" s="9">
        <v>2.478377203190111</v>
      </c>
      <c r="AK126" s="9">
        <v>0.68362219293743443</v>
      </c>
      <c r="AL126" s="9">
        <v>1.5899350529578775</v>
      </c>
      <c r="AM126" s="9">
        <v>6.1035199522698083</v>
      </c>
      <c r="AN126" s="9">
        <v>9.187030082738822</v>
      </c>
      <c r="AO126" s="9">
        <v>9.697271730914915</v>
      </c>
      <c r="AP126" s="9">
        <v>6.3518107484262503</v>
      </c>
      <c r="AQ126" s="9">
        <v>6.1542808443922743</v>
      </c>
      <c r="AR126" s="9">
        <v>1.2806167149706016</v>
      </c>
      <c r="AS126" s="9">
        <v>6.0472807682735237</v>
      </c>
      <c r="AT126" s="9">
        <v>9.3013420635963531</v>
      </c>
      <c r="AU126" s="9">
        <v>14.067013135316305</v>
      </c>
      <c r="AV126" s="9">
        <v>8.8416108566626033</v>
      </c>
      <c r="AW126" s="9">
        <v>2.4666151442874722</v>
      </c>
      <c r="AX126" s="9">
        <v>0.65536355537222812</v>
      </c>
      <c r="AY126" s="9">
        <v>1.5988665935852986</v>
      </c>
      <c r="AZ126" s="9">
        <v>6.1381526816606202</v>
      </c>
      <c r="BA126" s="9">
        <v>9.25203116084238</v>
      </c>
      <c r="BB126" s="9">
        <v>9.7559753400236264</v>
      </c>
      <c r="BC126" s="9">
        <v>6.3789848491722827</v>
      </c>
      <c r="BD126" s="9">
        <v>6.1786467475382638</v>
      </c>
    </row>
    <row r="127" spans="3:56" x14ac:dyDescent="0.25">
      <c r="C127" s="111">
        <v>34.239699999999999</v>
      </c>
      <c r="F127" s="111">
        <v>5.9080000000000004</v>
      </c>
      <c r="G127" s="112">
        <v>514</v>
      </c>
      <c r="J127" s="111">
        <v>2312.5</v>
      </c>
      <c r="K127" s="111">
        <v>2313.14</v>
      </c>
      <c r="L127" s="91">
        <v>7.5472662848465202</v>
      </c>
      <c r="M127" s="12">
        <v>1269.1152071602783</v>
      </c>
      <c r="N127" s="11">
        <v>64.338664430632775</v>
      </c>
      <c r="O127" s="11">
        <v>2206.8858977667041</v>
      </c>
      <c r="P127" s="11">
        <v>41.915437802662474</v>
      </c>
      <c r="Q127" s="11">
        <v>0.90810282429228872</v>
      </c>
      <c r="R127" s="11">
        <v>0.57689112089167038</v>
      </c>
      <c r="S127" s="13">
        <v>18.889514067023214</v>
      </c>
      <c r="T127" s="14">
        <v>1029.323642951201</v>
      </c>
      <c r="U127" s="91">
        <v>7.581738944790434</v>
      </c>
      <c r="V127" s="12">
        <v>1229.44960290418</v>
      </c>
      <c r="W127" s="11">
        <v>64.380178104344864</v>
      </c>
      <c r="X127" s="11">
        <v>2206.5440442892677</v>
      </c>
      <c r="Y127" s="11">
        <v>42.215777606387164</v>
      </c>
      <c r="Z127" s="11">
        <v>1.0118026534007896</v>
      </c>
      <c r="AA127" s="11">
        <v>0.63806196804899096</v>
      </c>
      <c r="AB127" s="13">
        <v>18.878198725014265</v>
      </c>
      <c r="AC127" s="14">
        <v>1027.0726000296354</v>
      </c>
      <c r="AD127" s="15">
        <v>4</v>
      </c>
      <c r="AE127" s="9">
        <v>1.2950290066803198</v>
      </c>
      <c r="AF127" s="9">
        <v>6.0119584467455098</v>
      </c>
      <c r="AG127" s="9">
        <v>9.2686721576554802</v>
      </c>
      <c r="AH127" s="9">
        <v>14.005588052156806</v>
      </c>
      <c r="AI127" s="9">
        <v>8.801248453311894</v>
      </c>
      <c r="AJ127" s="9">
        <v>2.4642253483845922</v>
      </c>
      <c r="AK127" s="9">
        <v>0.65475384188788954</v>
      </c>
      <c r="AL127" s="9">
        <v>1.5849021953764622</v>
      </c>
      <c r="AM127" s="9">
        <v>6.1063811370282934</v>
      </c>
      <c r="AN127" s="9">
        <v>9.2056063862925797</v>
      </c>
      <c r="AO127" s="9">
        <v>9.7090415996580859</v>
      </c>
      <c r="AP127" s="9">
        <v>6.3331129873728207</v>
      </c>
      <c r="AQ127" s="9">
        <v>6.1360718156443017</v>
      </c>
      <c r="AR127" s="9">
        <v>1.2809585572137492</v>
      </c>
      <c r="AS127" s="9">
        <v>6.0467785178780087</v>
      </c>
      <c r="AT127" s="9">
        <v>9.2999767522042003</v>
      </c>
      <c r="AU127" s="9">
        <v>14.066181497750735</v>
      </c>
      <c r="AV127" s="9">
        <v>8.8408903240669332</v>
      </c>
      <c r="AW127" s="9">
        <v>2.4655497738410497</v>
      </c>
      <c r="AX127" s="9">
        <v>0.65387464193884581</v>
      </c>
      <c r="AY127" s="9">
        <v>1.5985450522440272</v>
      </c>
      <c r="AZ127" s="9">
        <v>6.1375556367320954</v>
      </c>
      <c r="BA127" s="9">
        <v>9.2529467576731221</v>
      </c>
      <c r="BB127" s="9">
        <v>9.7556831801692425</v>
      </c>
      <c r="BC127" s="9">
        <v>6.3769729883629669</v>
      </c>
      <c r="BD127" s="9">
        <v>6.1767400334630667</v>
      </c>
    </row>
    <row r="128" spans="3:56" x14ac:dyDescent="0.25">
      <c r="C128" s="111">
        <v>33.243600000000001</v>
      </c>
      <c r="F128" s="111">
        <v>14.478999999999999</v>
      </c>
      <c r="G128" s="112">
        <v>2</v>
      </c>
      <c r="J128" s="111">
        <v>2226.7199999999998</v>
      </c>
      <c r="K128" s="111">
        <v>2013.65</v>
      </c>
      <c r="L128" s="91">
        <v>8.0660648181213759</v>
      </c>
      <c r="M128" s="12">
        <v>362.0756627934241</v>
      </c>
      <c r="N128" s="11">
        <v>13.916218471612213</v>
      </c>
      <c r="O128" s="11">
        <v>1846.4866772402786</v>
      </c>
      <c r="P128" s="11">
        <v>153.2471042881092</v>
      </c>
      <c r="Q128" s="11">
        <v>3.6930072273076053</v>
      </c>
      <c r="R128" s="11">
        <v>2.3616175638367962</v>
      </c>
      <c r="S128" s="13">
        <v>11.531423909692302</v>
      </c>
      <c r="T128" s="14">
        <v>1024.7393241102993</v>
      </c>
      <c r="U128" s="91">
        <v>8.2166904384140889</v>
      </c>
      <c r="V128" s="12">
        <v>239.83951023971477</v>
      </c>
      <c r="W128" s="11">
        <v>12.633127868262324</v>
      </c>
      <c r="X128" s="11">
        <v>1851.7322750348576</v>
      </c>
      <c r="Y128" s="11">
        <v>149.28459709688019</v>
      </c>
      <c r="Z128" s="11">
        <v>3.597018625479548</v>
      </c>
      <c r="AA128" s="11">
        <v>2.2639440314803592</v>
      </c>
      <c r="AB128" s="13">
        <v>11.683307127172913</v>
      </c>
      <c r="AC128" s="14">
        <v>1026.2830171188366</v>
      </c>
      <c r="AD128" s="15">
        <v>4</v>
      </c>
      <c r="AE128" s="9">
        <v>1.4152780961993277</v>
      </c>
      <c r="AF128" s="9">
        <v>5.9432398777882218</v>
      </c>
      <c r="AG128" s="9">
        <v>9.1470187196326158</v>
      </c>
      <c r="AH128" s="9">
        <v>13.651240107599603</v>
      </c>
      <c r="AI128" s="9">
        <v>8.7240270564439353</v>
      </c>
      <c r="AJ128" s="9">
        <v>2.5553296481458676</v>
      </c>
      <c r="AK128" s="9">
        <v>0.83955776902124324</v>
      </c>
      <c r="AL128" s="9">
        <v>1.6012362225371528</v>
      </c>
      <c r="AM128" s="9">
        <v>6.0480534834609845</v>
      </c>
      <c r="AN128" s="9">
        <v>9.0168606635801112</v>
      </c>
      <c r="AO128" s="9">
        <v>9.5678483667052543</v>
      </c>
      <c r="AP128" s="9">
        <v>6.3921617510547906</v>
      </c>
      <c r="AQ128" s="9">
        <v>6.1979911635703786</v>
      </c>
      <c r="AR128" s="9">
        <v>1.2784098367167478</v>
      </c>
      <c r="AS128" s="9">
        <v>6.050623134124983</v>
      </c>
      <c r="AT128" s="9">
        <v>9.3102536342965667</v>
      </c>
      <c r="AU128" s="9">
        <v>14.072466412044397</v>
      </c>
      <c r="AV128" s="9">
        <v>8.8463402152467214</v>
      </c>
      <c r="AW128" s="9">
        <v>2.4735412012959856</v>
      </c>
      <c r="AX128" s="9">
        <v>0.66479049102690868</v>
      </c>
      <c r="AY128" s="9">
        <v>1.6010153104470126</v>
      </c>
      <c r="AZ128" s="9">
        <v>6.1421917692375088</v>
      </c>
      <c r="BA128" s="9">
        <v>9.2468005091348289</v>
      </c>
      <c r="BB128" s="9">
        <v>9.7579240758701555</v>
      </c>
      <c r="BC128" s="9">
        <v>6.3921015567100357</v>
      </c>
      <c r="BD128" s="9">
        <v>6.1910245562506825</v>
      </c>
    </row>
    <row r="129" spans="3:56" x14ac:dyDescent="0.25">
      <c r="C129" s="111">
        <v>33.241100000000003</v>
      </c>
      <c r="F129" s="111">
        <v>13.522</v>
      </c>
      <c r="G129" s="112">
        <v>31</v>
      </c>
      <c r="J129" s="111">
        <v>2225.5</v>
      </c>
      <c r="K129" s="111">
        <v>2025.59</v>
      </c>
      <c r="L129" s="91">
        <v>8.0515820438585326</v>
      </c>
      <c r="M129" s="12">
        <v>374.81955787306617</v>
      </c>
      <c r="N129" s="11">
        <v>14.838238041152337</v>
      </c>
      <c r="O129" s="11">
        <v>1866.1443370634975</v>
      </c>
      <c r="P129" s="11">
        <v>144.60742489535005</v>
      </c>
      <c r="Q129" s="11">
        <v>3.4655293312746953</v>
      </c>
      <c r="R129" s="11">
        <v>2.2125152540370627</v>
      </c>
      <c r="S129" s="13">
        <v>11.934509244657697</v>
      </c>
      <c r="T129" s="14">
        <v>1025.0653034041575</v>
      </c>
      <c r="U129" s="91">
        <v>8.1879697061737122</v>
      </c>
      <c r="V129" s="12">
        <v>258.87639932781627</v>
      </c>
      <c r="W129" s="11">
        <v>13.636063641287636</v>
      </c>
      <c r="X129" s="11">
        <v>1870.7926367602906</v>
      </c>
      <c r="Y129" s="11">
        <v>141.16129959842164</v>
      </c>
      <c r="Z129" s="11">
        <v>3.4013320111231318</v>
      </c>
      <c r="AA129" s="11">
        <v>2.1407686352694859</v>
      </c>
      <c r="AB129" s="13">
        <v>12.084184030217941</v>
      </c>
      <c r="AC129" s="14">
        <v>1026.2810357901394</v>
      </c>
      <c r="AD129" s="15">
        <v>4</v>
      </c>
      <c r="AE129" s="9">
        <v>1.4024399101154932</v>
      </c>
      <c r="AF129" s="9">
        <v>5.952019146544596</v>
      </c>
      <c r="AG129" s="9">
        <v>9.1623366826423869</v>
      </c>
      <c r="AH129" s="9">
        <v>13.691139748659808</v>
      </c>
      <c r="AI129" s="9">
        <v>8.7344743762047816</v>
      </c>
      <c r="AJ129" s="9">
        <v>2.5468023315622337</v>
      </c>
      <c r="AK129" s="9">
        <v>0.82188061260440981</v>
      </c>
      <c r="AL129" s="9">
        <v>1.6001327362298148</v>
      </c>
      <c r="AM129" s="9">
        <v>6.0555523087867327</v>
      </c>
      <c r="AN129" s="9">
        <v>9.0380788236292346</v>
      </c>
      <c r="AO129" s="9">
        <v>9.5845763871842884</v>
      </c>
      <c r="AP129" s="9">
        <v>6.3897855181644347</v>
      </c>
      <c r="AQ129" s="9">
        <v>6.1949022128124485</v>
      </c>
      <c r="AR129" s="9">
        <v>1.2784034399681861</v>
      </c>
      <c r="AS129" s="9">
        <v>6.0506330737410847</v>
      </c>
      <c r="AT129" s="9">
        <v>9.3102797100479151</v>
      </c>
      <c r="AU129" s="9">
        <v>14.072482434148018</v>
      </c>
      <c r="AV129" s="9">
        <v>8.8463541208617507</v>
      </c>
      <c r="AW129" s="9">
        <v>2.4735614000253587</v>
      </c>
      <c r="AX129" s="9">
        <v>0.66481736628989563</v>
      </c>
      <c r="AY129" s="9">
        <v>1.6010217248375822</v>
      </c>
      <c r="AZ129" s="9">
        <v>6.1422039484770545</v>
      </c>
      <c r="BA129" s="9">
        <v>9.2467870857091654</v>
      </c>
      <c r="BB129" s="9">
        <v>9.7579298843585605</v>
      </c>
      <c r="BC129" s="9">
        <v>6.3921399100453966</v>
      </c>
      <c r="BD129" s="9">
        <v>6.1910606168709919</v>
      </c>
    </row>
    <row r="130" spans="3:56" x14ac:dyDescent="0.25">
      <c r="C130" s="111">
        <v>33.261800000000001</v>
      </c>
      <c r="F130" s="111">
        <v>13.159000000000001</v>
      </c>
      <c r="G130" s="112">
        <v>50</v>
      </c>
      <c r="J130" s="111">
        <v>2227.39</v>
      </c>
      <c r="K130" s="111">
        <v>2028.82</v>
      </c>
      <c r="L130" s="91">
        <v>8.0530554689175133</v>
      </c>
      <c r="M130" s="12">
        <v>372.709919805053</v>
      </c>
      <c r="N130" s="11">
        <v>14.921196207729766</v>
      </c>
      <c r="O130" s="11">
        <v>1870.2656945585873</v>
      </c>
      <c r="P130" s="11">
        <v>143.63310923368283</v>
      </c>
      <c r="Q130" s="11">
        <v>3.4296224470073882</v>
      </c>
      <c r="R130" s="11">
        <v>2.1885809088923285</v>
      </c>
      <c r="S130" s="13">
        <v>11.988708478213262</v>
      </c>
      <c r="T130" s="14">
        <v>1025.2394363904521</v>
      </c>
      <c r="U130" s="91">
        <v>8.1844470021961691</v>
      </c>
      <c r="V130" s="12">
        <v>261.50754096895793</v>
      </c>
      <c r="W130" s="11">
        <v>13.772976671437359</v>
      </c>
      <c r="X130" s="11">
        <v>1874.6664043002713</v>
      </c>
      <c r="Y130" s="11">
        <v>140.38061902829108</v>
      </c>
      <c r="Z130" s="11">
        <v>3.3821540638489669</v>
      </c>
      <c r="AA130" s="11">
        <v>2.1287911248821492</v>
      </c>
      <c r="AB130" s="13">
        <v>12.132541838756691</v>
      </c>
      <c r="AC130" s="14">
        <v>1026.2974412450253</v>
      </c>
      <c r="AD130" s="15">
        <v>4</v>
      </c>
      <c r="AE130" s="9">
        <v>1.3975673106016033</v>
      </c>
      <c r="AF130" s="9">
        <v>5.9549558022584721</v>
      </c>
      <c r="AG130" s="9">
        <v>9.1677042150092714</v>
      </c>
      <c r="AH130" s="9">
        <v>13.705936715861368</v>
      </c>
      <c r="AI130" s="9">
        <v>8.7379259292193368</v>
      </c>
      <c r="AJ130" s="9">
        <v>2.5432323995080082</v>
      </c>
      <c r="AK130" s="9">
        <v>0.8146784240603826</v>
      </c>
      <c r="AL130" s="9">
        <v>1.5994784023638464</v>
      </c>
      <c r="AM130" s="9">
        <v>6.0580139335992671</v>
      </c>
      <c r="AN130" s="9">
        <v>9.0458790228625521</v>
      </c>
      <c r="AO130" s="9">
        <v>9.5905149404508734</v>
      </c>
      <c r="AP130" s="9">
        <v>6.3879279218695144</v>
      </c>
      <c r="AQ130" s="9">
        <v>6.1928442154127188</v>
      </c>
      <c r="AR130" s="9">
        <v>1.2784564050462788</v>
      </c>
      <c r="AS130" s="9">
        <v>6.0505508175667826</v>
      </c>
      <c r="AT130" s="9">
        <v>9.3100638455435227</v>
      </c>
      <c r="AU130" s="9">
        <v>14.072349809149175</v>
      </c>
      <c r="AV130" s="9">
        <v>8.8462390170049936</v>
      </c>
      <c r="AW130" s="9">
        <v>2.4733941762925604</v>
      </c>
      <c r="AX130" s="9">
        <v>0.66459476340189316</v>
      </c>
      <c r="AY130" s="9">
        <v>1.6009686465375219</v>
      </c>
      <c r="AZ130" s="9">
        <v>6.1421031875976393</v>
      </c>
      <c r="BA130" s="9">
        <v>9.2468985382702567</v>
      </c>
      <c r="BB130" s="9">
        <v>9.7578818183071654</v>
      </c>
      <c r="BC130" s="9">
        <v>6.3918224041837339</v>
      </c>
      <c r="BD130" s="9">
        <v>6.1907620684285405</v>
      </c>
    </row>
    <row r="131" spans="3:56" x14ac:dyDescent="0.25">
      <c r="C131" s="111">
        <v>33.604100000000003</v>
      </c>
      <c r="F131" s="111">
        <v>10.016999999999999</v>
      </c>
      <c r="G131" s="112">
        <v>100</v>
      </c>
      <c r="J131" s="111">
        <v>2233.1999999999998</v>
      </c>
      <c r="K131" s="111">
        <v>2149.4</v>
      </c>
      <c r="L131" s="91">
        <v>7.7927042547054759</v>
      </c>
      <c r="M131" s="12">
        <v>719.87623677523402</v>
      </c>
      <c r="N131" s="11">
        <v>31.824520043406217</v>
      </c>
      <c r="O131" s="11">
        <v>2040.6269557133517</v>
      </c>
      <c r="P131" s="11">
        <v>76.948524243242289</v>
      </c>
      <c r="Q131" s="11">
        <v>1.8146412168673649</v>
      </c>
      <c r="R131" s="11">
        <v>1.1527796585321302</v>
      </c>
      <c r="S131" s="13">
        <v>16.665216856717649</v>
      </c>
      <c r="T131" s="14">
        <v>1026.3125021701235</v>
      </c>
      <c r="U131" s="91">
        <v>7.873027097974469</v>
      </c>
      <c r="V131" s="12">
        <v>583.26990562626543</v>
      </c>
      <c r="W131" s="11">
        <v>30.657541251651462</v>
      </c>
      <c r="X131" s="11">
        <v>2043.4280448305954</v>
      </c>
      <c r="Y131" s="11">
        <v>75.314413917753328</v>
      </c>
      <c r="Z131" s="11">
        <v>1.8112566247819637</v>
      </c>
      <c r="AA131" s="11">
        <v>1.1408392856956771</v>
      </c>
      <c r="AB131" s="13">
        <v>16.932631979564952</v>
      </c>
      <c r="AC131" s="14">
        <v>1026.5687432979259</v>
      </c>
      <c r="AD131" s="15">
        <v>4</v>
      </c>
      <c r="AE131" s="9">
        <v>1.3544959750435408</v>
      </c>
      <c r="AF131" s="9">
        <v>5.9857024981570728</v>
      </c>
      <c r="AG131" s="9">
        <v>9.2162675787501183</v>
      </c>
      <c r="AH131" s="9">
        <v>13.839020268328001</v>
      </c>
      <c r="AI131" s="9">
        <v>8.7731869239753628</v>
      </c>
      <c r="AJ131" s="9">
        <v>2.5127915250974979</v>
      </c>
      <c r="AK131" s="9">
        <v>0.75306105329338091</v>
      </c>
      <c r="AL131" s="9">
        <v>1.5965707923779704</v>
      </c>
      <c r="AM131" s="9">
        <v>6.084081581283427</v>
      </c>
      <c r="AN131" s="9">
        <v>9.1202554448168467</v>
      </c>
      <c r="AO131" s="9">
        <v>9.6485836964862521</v>
      </c>
      <c r="AP131" s="9">
        <v>6.3780801259614233</v>
      </c>
      <c r="AQ131" s="9">
        <v>6.181035659451747</v>
      </c>
      <c r="AR131" s="9">
        <v>1.2793322478593734</v>
      </c>
      <c r="AS131" s="9">
        <v>6.0492050697616913</v>
      </c>
      <c r="AT131" s="9">
        <v>9.306508346645721</v>
      </c>
      <c r="AU131" s="9">
        <v>14.070169163223802</v>
      </c>
      <c r="AV131" s="9">
        <v>8.8443470196811447</v>
      </c>
      <c r="AW131" s="9">
        <v>2.4706360579856854</v>
      </c>
      <c r="AX131" s="9">
        <v>0.66088841955024946</v>
      </c>
      <c r="AY131" s="9">
        <v>1.6001017088354816</v>
      </c>
      <c r="AZ131" s="9">
        <v>6.1404642831302798</v>
      </c>
      <c r="BA131" s="9">
        <v>9.2488421195764747</v>
      </c>
      <c r="BB131" s="9">
        <v>9.7570962470603568</v>
      </c>
      <c r="BC131" s="9">
        <v>6.3865915361841203</v>
      </c>
      <c r="BD131" s="9">
        <v>6.1858360172797751</v>
      </c>
    </row>
    <row r="132" spans="3:56" x14ac:dyDescent="0.25">
      <c r="C132" s="111">
        <v>33.948399999999999</v>
      </c>
      <c r="F132" s="111">
        <v>8.6359999999999992</v>
      </c>
      <c r="G132" s="112">
        <v>170</v>
      </c>
      <c r="J132" s="111">
        <v>2255.7199999999998</v>
      </c>
      <c r="K132" s="111">
        <v>2196.9</v>
      </c>
      <c r="L132" s="91">
        <v>7.725876662502011</v>
      </c>
      <c r="M132" s="12">
        <v>845.42989820592709</v>
      </c>
      <c r="N132" s="11">
        <v>39.063838782415949</v>
      </c>
      <c r="O132" s="11">
        <v>2092.9449062863109</v>
      </c>
      <c r="P132" s="11">
        <v>64.891254931272968</v>
      </c>
      <c r="Q132" s="11">
        <v>1.5067876416124746</v>
      </c>
      <c r="R132" s="11">
        <v>0.9564812749786169</v>
      </c>
      <c r="S132" s="13">
        <v>17.762804513989284</v>
      </c>
      <c r="T132" s="14">
        <v>1027.1257311185589</v>
      </c>
      <c r="U132" s="91">
        <v>7.7871288385231168</v>
      </c>
      <c r="V132" s="12">
        <v>727.97143586322534</v>
      </c>
      <c r="W132" s="11">
        <v>38.185732925183515</v>
      </c>
      <c r="X132" s="11">
        <v>2094.8407277745478</v>
      </c>
      <c r="Y132" s="11">
        <v>63.873539300268561</v>
      </c>
      <c r="Z132" s="11">
        <v>1.5332914517721574</v>
      </c>
      <c r="AA132" s="11">
        <v>0.96640525304738423</v>
      </c>
      <c r="AB132" s="13">
        <v>17.989345438191801</v>
      </c>
      <c r="AC132" s="14">
        <v>1026.8416643782098</v>
      </c>
      <c r="AD132" s="15">
        <v>4</v>
      </c>
      <c r="AE132" s="9">
        <v>1.3353026834379687</v>
      </c>
      <c r="AF132" s="9">
        <v>5.9968937851138993</v>
      </c>
      <c r="AG132" s="9">
        <v>9.2344482857678614</v>
      </c>
      <c r="AH132" s="9">
        <v>13.895839523182245</v>
      </c>
      <c r="AI132" s="9">
        <v>8.785422834816508</v>
      </c>
      <c r="AJ132" s="9">
        <v>2.4967936654112286</v>
      </c>
      <c r="AK132" s="9">
        <v>0.72160691369047536</v>
      </c>
      <c r="AL132" s="9">
        <v>1.5939010617511682</v>
      </c>
      <c r="AM132" s="9">
        <v>6.0933712885694806</v>
      </c>
      <c r="AN132" s="9">
        <v>9.1524875871103291</v>
      </c>
      <c r="AO132" s="9">
        <v>9.671886987376384</v>
      </c>
      <c r="AP132" s="9">
        <v>6.366928484355312</v>
      </c>
      <c r="AQ132" s="9">
        <v>6.1695529070799129</v>
      </c>
      <c r="AR132" s="9">
        <v>1.2802132080713171</v>
      </c>
      <c r="AS132" s="9">
        <v>6.047878960415904</v>
      </c>
      <c r="AT132" s="9">
        <v>9.3029588658226849</v>
      </c>
      <c r="AU132" s="9">
        <v>14.067999255144851</v>
      </c>
      <c r="AV132" s="9">
        <v>8.8424654958943218</v>
      </c>
      <c r="AW132" s="9">
        <v>2.4678752453118937</v>
      </c>
      <c r="AX132" s="9">
        <v>0.65711089314605531</v>
      </c>
      <c r="AY132" s="9">
        <v>1.5992499948707046</v>
      </c>
      <c r="AZ132" s="9">
        <v>6.1388671983421883</v>
      </c>
      <c r="BA132" s="9">
        <v>9.2509863975356943</v>
      </c>
      <c r="BB132" s="9">
        <v>9.7563235138326032</v>
      </c>
      <c r="BC132" s="9">
        <v>6.3813663407800094</v>
      </c>
      <c r="BD132" s="9">
        <v>6.1809009082856221</v>
      </c>
    </row>
    <row r="133" spans="3:56" x14ac:dyDescent="0.25">
      <c r="C133" s="111">
        <v>34.013100000000001</v>
      </c>
      <c r="F133" s="111">
        <v>7.9850000000000003</v>
      </c>
      <c r="G133" s="112">
        <v>229</v>
      </c>
      <c r="J133" s="111">
        <v>2265.98</v>
      </c>
      <c r="K133" s="111">
        <v>2223.7199999999998</v>
      </c>
      <c r="L133" s="91">
        <v>7.6770712524148346</v>
      </c>
      <c r="M133" s="12">
        <v>948.12747239305952</v>
      </c>
      <c r="N133" s="11">
        <v>44.77319766951117</v>
      </c>
      <c r="O133" s="11">
        <v>2121.3526050471087</v>
      </c>
      <c r="P133" s="11">
        <v>57.594197283379877</v>
      </c>
      <c r="Q133" s="11">
        <v>1.3217104868514271</v>
      </c>
      <c r="R133" s="11">
        <v>0.83885289637165894</v>
      </c>
      <c r="S133" s="13">
        <v>18.333395822972278</v>
      </c>
      <c r="T133" s="14">
        <v>1027.5458358934031</v>
      </c>
      <c r="U133" s="91">
        <v>7.7304283966018827</v>
      </c>
      <c r="V133" s="12">
        <v>840.39774667829568</v>
      </c>
      <c r="W133" s="11">
        <v>44.066252979186125</v>
      </c>
      <c r="X133" s="11">
        <v>2122.7638400937681</v>
      </c>
      <c r="Y133" s="11">
        <v>56.889906927045494</v>
      </c>
      <c r="Z133" s="11">
        <v>1.3651737055697639</v>
      </c>
      <c r="AA133" s="11">
        <v>0.86054808772030733</v>
      </c>
      <c r="AB133" s="13">
        <v>18.5271547423356</v>
      </c>
      <c r="AC133" s="14">
        <v>1026.8929548523176</v>
      </c>
      <c r="AD133" s="15">
        <v>4</v>
      </c>
      <c r="AE133" s="9">
        <v>1.3258486181341376</v>
      </c>
      <c r="AF133" s="9">
        <v>6.001476503225275</v>
      </c>
      <c r="AG133" s="9">
        <v>9.2433053843995978</v>
      </c>
      <c r="AH133" s="9">
        <v>13.922625091158988</v>
      </c>
      <c r="AI133" s="9">
        <v>8.7904204041394074</v>
      </c>
      <c r="AJ133" s="9">
        <v>2.4895201413137831</v>
      </c>
      <c r="AK133" s="9">
        <v>0.70667974732183325</v>
      </c>
      <c r="AL133" s="9">
        <v>1.5923143544476153</v>
      </c>
      <c r="AM133" s="9">
        <v>6.0973253034561985</v>
      </c>
      <c r="AN133" s="9">
        <v>9.1661176603247796</v>
      </c>
      <c r="AO133" s="9">
        <v>9.681871519652935</v>
      </c>
      <c r="AP133" s="9">
        <v>6.360993308731925</v>
      </c>
      <c r="AQ133" s="9">
        <v>6.1635427812866865</v>
      </c>
      <c r="AR133" s="9">
        <v>1.2803787559240993</v>
      </c>
      <c r="AS133" s="9">
        <v>6.0476328388631408</v>
      </c>
      <c r="AT133" s="9">
        <v>9.3022948544427724</v>
      </c>
      <c r="AU133" s="9">
        <v>14.067594090501046</v>
      </c>
      <c r="AV133" s="9">
        <v>8.8421143187338629</v>
      </c>
      <c r="AW133" s="9">
        <v>2.4673579252363522</v>
      </c>
      <c r="AX133" s="9">
        <v>0.65639532832458547</v>
      </c>
      <c r="AY133" s="9">
        <v>1.5990921888726999</v>
      </c>
      <c r="AZ133" s="9">
        <v>6.1385727675440549</v>
      </c>
      <c r="BA133" s="9">
        <v>9.2514103046364689</v>
      </c>
      <c r="BB133" s="9">
        <v>9.7561802324062636</v>
      </c>
      <c r="BC133" s="9">
        <v>6.3803883941347994</v>
      </c>
      <c r="BD133" s="9">
        <v>6.1799756232015053</v>
      </c>
    </row>
    <row r="134" spans="3:56" x14ac:dyDescent="0.25">
      <c r="C134" s="111">
        <v>34.110399999999998</v>
      </c>
      <c r="F134" s="111">
        <v>7.2569999999999997</v>
      </c>
      <c r="G134" s="112">
        <v>321</v>
      </c>
      <c r="J134" s="111">
        <v>2280.86</v>
      </c>
      <c r="K134" s="111">
        <v>2261.0300000000002</v>
      </c>
      <c r="L134" s="91">
        <v>7.6065176678428408</v>
      </c>
      <c r="M134" s="12">
        <v>1117.3024618079255</v>
      </c>
      <c r="N134" s="11">
        <v>54.069951553625351</v>
      </c>
      <c r="O134" s="11">
        <v>2158.1638913833681</v>
      </c>
      <c r="P134" s="11">
        <v>48.796157063006902</v>
      </c>
      <c r="Q134" s="11">
        <v>1.0993193018392127</v>
      </c>
      <c r="R134" s="11">
        <v>0.69785797506248637</v>
      </c>
      <c r="S134" s="13">
        <v>18.780895775293221</v>
      </c>
      <c r="T134" s="14">
        <v>1028.1501455470918</v>
      </c>
      <c r="U134" s="91">
        <v>7.6523673858542427</v>
      </c>
      <c r="V134" s="12">
        <v>1022.7592642990385</v>
      </c>
      <c r="W134" s="11">
        <v>53.59764461081086</v>
      </c>
      <c r="X134" s="11">
        <v>2158.9796667765536</v>
      </c>
      <c r="Y134" s="11">
        <v>48.452688612635605</v>
      </c>
      <c r="Z134" s="11">
        <v>1.162098096702697</v>
      </c>
      <c r="AA134" s="11">
        <v>0.73266949758798516</v>
      </c>
      <c r="AB134" s="13">
        <v>18.916222422651508</v>
      </c>
      <c r="AC134" s="14">
        <v>1026.9700910398651</v>
      </c>
      <c r="AD134" s="15">
        <v>4</v>
      </c>
      <c r="AE134" s="9">
        <v>1.3152147752192749</v>
      </c>
      <c r="AF134" s="9">
        <v>6.0053892262870212</v>
      </c>
      <c r="AG134" s="9">
        <v>9.2522164693227147</v>
      </c>
      <c r="AH134" s="9">
        <v>13.951686056187778</v>
      </c>
      <c r="AI134" s="9">
        <v>8.7945254125199579</v>
      </c>
      <c r="AJ134" s="9">
        <v>2.4806827280755401</v>
      </c>
      <c r="AK134" s="9">
        <v>0.68871579525062088</v>
      </c>
      <c r="AL134" s="9">
        <v>1.5898501484339989</v>
      </c>
      <c r="AM134" s="9">
        <v>6.1006617723816294</v>
      </c>
      <c r="AN134" s="9">
        <v>9.1803752329594914</v>
      </c>
      <c r="AO134" s="9">
        <v>9.6916988967764031</v>
      </c>
      <c r="AP134" s="9">
        <v>6.3517333391161523</v>
      </c>
      <c r="AQ134" s="9">
        <v>6.1543765316838561</v>
      </c>
      <c r="AR134" s="9">
        <v>1.280627717378128</v>
      </c>
      <c r="AS134" s="9">
        <v>6.0472645383880685</v>
      </c>
      <c r="AT134" s="9">
        <v>9.3012980572180517</v>
      </c>
      <c r="AU134" s="9">
        <v>14.066986314640969</v>
      </c>
      <c r="AV134" s="9">
        <v>8.8415876159469668</v>
      </c>
      <c r="AW134" s="9">
        <v>2.4665808238926861</v>
      </c>
      <c r="AX134" s="9">
        <v>0.65531575742032122</v>
      </c>
      <c r="AY134" s="9">
        <v>1.5988561980002203</v>
      </c>
      <c r="AZ134" s="9">
        <v>6.1381333474127544</v>
      </c>
      <c r="BA134" s="9">
        <v>9.2520601952593875</v>
      </c>
      <c r="BB134" s="9">
        <v>9.7559658966939349</v>
      </c>
      <c r="BC134" s="9">
        <v>6.3789200153480641</v>
      </c>
      <c r="BD134" s="9">
        <v>6.1785853368709747</v>
      </c>
    </row>
    <row r="135" spans="3:56" x14ac:dyDescent="0.25">
      <c r="C135" s="111">
        <v>34.235500000000002</v>
      </c>
      <c r="F135" s="111">
        <v>5.907</v>
      </c>
      <c r="G135" s="112">
        <v>515</v>
      </c>
      <c r="J135" s="111">
        <v>2312.46</v>
      </c>
      <c r="K135" s="111">
        <v>2313.54</v>
      </c>
      <c r="L135" s="91">
        <v>7.5457792643020651</v>
      </c>
      <c r="M135" s="12">
        <v>1273.5182003815091</v>
      </c>
      <c r="N135" s="11">
        <v>64.565754827569009</v>
      </c>
      <c r="O135" s="11">
        <v>2207.1990837455755</v>
      </c>
      <c r="P135" s="11">
        <v>41.775161426855234</v>
      </c>
      <c r="Q135" s="11">
        <v>0.90490771157890681</v>
      </c>
      <c r="R135" s="11">
        <v>0.57486325321862508</v>
      </c>
      <c r="S135" s="13">
        <v>18.884870429405716</v>
      </c>
      <c r="T135" s="14">
        <v>1029.3250423422428</v>
      </c>
      <c r="U135" s="91">
        <v>7.5802807290306866</v>
      </c>
      <c r="V135" s="12">
        <v>1233.7730386898868</v>
      </c>
      <c r="W135" s="11">
        <v>64.608173691524911</v>
      </c>
      <c r="X135" s="11">
        <v>2206.8557662098551</v>
      </c>
      <c r="Y135" s="11">
        <v>42.076060098619564</v>
      </c>
      <c r="Z135" s="11">
        <v>1.0084769586501783</v>
      </c>
      <c r="AA135" s="11">
        <v>0.6359599370872312</v>
      </c>
      <c r="AB135" s="13">
        <v>18.873306326575911</v>
      </c>
      <c r="AC135" s="14">
        <v>1027.0692701944677</v>
      </c>
      <c r="AD135" s="15">
        <v>4</v>
      </c>
      <c r="AE135" s="9">
        <v>1.2950029233712725</v>
      </c>
      <c r="AF135" s="9">
        <v>6.0119399897724906</v>
      </c>
      <c r="AG135" s="9">
        <v>9.2687026347266368</v>
      </c>
      <c r="AH135" s="9">
        <v>14.005624525872067</v>
      </c>
      <c r="AI135" s="9">
        <v>8.8012309659700119</v>
      </c>
      <c r="AJ135" s="9">
        <v>2.4642318078665197</v>
      </c>
      <c r="AK135" s="9">
        <v>0.6547472234012367</v>
      </c>
      <c r="AL135" s="9">
        <v>1.5848871133815177</v>
      </c>
      <c r="AM135" s="9">
        <v>6.1063696604559574</v>
      </c>
      <c r="AN135" s="9">
        <v>9.2055556681331883</v>
      </c>
      <c r="AO135" s="9">
        <v>9.7090182929952462</v>
      </c>
      <c r="AP135" s="9">
        <v>6.3330913960174495</v>
      </c>
      <c r="AQ135" s="9">
        <v>6.136051655032273</v>
      </c>
      <c r="AR135" s="9">
        <v>1.2809478106761651</v>
      </c>
      <c r="AS135" s="9">
        <v>6.0467942440035953</v>
      </c>
      <c r="AT135" s="9">
        <v>9.3000196121173069</v>
      </c>
      <c r="AU135" s="9">
        <v>14.066207589457122</v>
      </c>
      <c r="AV135" s="9">
        <v>8.8409129267943225</v>
      </c>
      <c r="AW135" s="9">
        <v>2.4655832359984546</v>
      </c>
      <c r="AX135" s="9">
        <v>0.65392157050584909</v>
      </c>
      <c r="AY135" s="9">
        <v>1.5985551151359718</v>
      </c>
      <c r="AZ135" s="9">
        <v>6.1375742909926698</v>
      </c>
      <c r="BA135" s="9">
        <v>9.2529175498543506</v>
      </c>
      <c r="BB135" s="9">
        <v>9.7556923258272299</v>
      </c>
      <c r="BC135" s="9">
        <v>6.3770361568033476</v>
      </c>
      <c r="BD135" s="9">
        <v>6.1767999344668869</v>
      </c>
    </row>
    <row r="136" spans="3:56" x14ac:dyDescent="0.25">
      <c r="C136" s="111">
        <v>33.185600000000001</v>
      </c>
      <c r="F136" s="111">
        <v>16.074000000000002</v>
      </c>
      <c r="G136" s="112">
        <v>3</v>
      </c>
      <c r="J136" s="111">
        <v>2221.84</v>
      </c>
      <c r="K136" s="111">
        <v>2007.78</v>
      </c>
      <c r="L136" s="91">
        <v>8.0448984513084874</v>
      </c>
      <c r="M136" s="12">
        <v>382.753656102901</v>
      </c>
      <c r="N136" s="11">
        <v>14.023796760216774</v>
      </c>
      <c r="O136" s="11">
        <v>1839.3341085362435</v>
      </c>
      <c r="P136" s="11">
        <v>154.42209470353947</v>
      </c>
      <c r="Q136" s="11">
        <v>3.7261451136367998</v>
      </c>
      <c r="R136" s="11">
        <v>2.3908355165026611</v>
      </c>
      <c r="S136" s="13">
        <v>11.460610263111636</v>
      </c>
      <c r="T136" s="14">
        <v>1024.3497541114032</v>
      </c>
      <c r="U136" s="91">
        <v>8.2202631364556389</v>
      </c>
      <c r="V136" s="12">
        <v>237.11712699168143</v>
      </c>
      <c r="W136" s="11">
        <v>12.493999726153156</v>
      </c>
      <c r="X136" s="11">
        <v>1845.4850044525488</v>
      </c>
      <c r="Y136" s="11">
        <v>149.80099582129785</v>
      </c>
      <c r="Z136" s="11">
        <v>3.6105579671595027</v>
      </c>
      <c r="AA136" s="11">
        <v>2.2721861387458548</v>
      </c>
      <c r="AB136" s="13">
        <v>11.640503437892395</v>
      </c>
      <c r="AC136" s="14">
        <v>1026.2370507478252</v>
      </c>
      <c r="AD136" s="15">
        <v>4</v>
      </c>
      <c r="AE136" s="9">
        <v>1.4360537386949648</v>
      </c>
      <c r="AF136" s="9">
        <v>5.9271034359692631</v>
      </c>
      <c r="AG136" s="9">
        <v>9.1208496364965672</v>
      </c>
      <c r="AH136" s="9">
        <v>13.584298707538514</v>
      </c>
      <c r="AI136" s="9">
        <v>8.7046662031913993</v>
      </c>
      <c r="AJ136" s="9">
        <v>2.5690213407747962</v>
      </c>
      <c r="AK136" s="9">
        <v>0.86756848030225531</v>
      </c>
      <c r="AL136" s="9">
        <v>1.6022997406132302</v>
      </c>
      <c r="AM136" s="9">
        <v>6.0344249207419214</v>
      </c>
      <c r="AN136" s="9">
        <v>8.9794647470887732</v>
      </c>
      <c r="AO136" s="9">
        <v>9.5380995703993303</v>
      </c>
      <c r="AP136" s="9">
        <v>6.3934825694535409</v>
      </c>
      <c r="AQ136" s="9">
        <v>6.2007725038623267</v>
      </c>
      <c r="AR136" s="9">
        <v>1.2782614321501122</v>
      </c>
      <c r="AS136" s="9">
        <v>6.0508541078743496</v>
      </c>
      <c r="AT136" s="9">
        <v>9.3108589567267295</v>
      </c>
      <c r="AU136" s="9">
        <v>14.072838450070616</v>
      </c>
      <c r="AV136" s="9">
        <v>8.8466631216684135</v>
      </c>
      <c r="AW136" s="9">
        <v>2.4740099978483334</v>
      </c>
      <c r="AX136" s="9">
        <v>0.66541335221352949</v>
      </c>
      <c r="AY136" s="9">
        <v>1.6011644053452787</v>
      </c>
      <c r="AZ136" s="9">
        <v>6.1424750395063139</v>
      </c>
      <c r="BA136" s="9">
        <v>9.2464917083347267</v>
      </c>
      <c r="BB136" s="9">
        <v>9.7580590743144988</v>
      </c>
      <c r="BC136" s="9">
        <v>6.3929918659057678</v>
      </c>
      <c r="BD136" s="9">
        <v>6.1918614501037315</v>
      </c>
    </row>
    <row r="137" spans="3:56" x14ac:dyDescent="0.25">
      <c r="C137" s="111">
        <v>33.1995</v>
      </c>
      <c r="F137" s="111">
        <v>15.829000000000001</v>
      </c>
      <c r="G137" s="112">
        <v>30</v>
      </c>
      <c r="J137" s="112">
        <v>2223</v>
      </c>
      <c r="K137" s="111">
        <v>2007.77</v>
      </c>
      <c r="L137" s="91">
        <v>8.0498449148468421</v>
      </c>
      <c r="M137" s="12">
        <v>376.69707333567362</v>
      </c>
      <c r="N137" s="11">
        <v>13.902084673426815</v>
      </c>
      <c r="O137" s="11">
        <v>1838.8504984682384</v>
      </c>
      <c r="P137" s="11">
        <v>155.01741685833463</v>
      </c>
      <c r="Q137" s="11">
        <v>3.722545692082551</v>
      </c>
      <c r="R137" s="11">
        <v>2.3880390484615432</v>
      </c>
      <c r="S137" s="13">
        <v>11.436293481062966</v>
      </c>
      <c r="T137" s="14">
        <v>1024.535362768501</v>
      </c>
      <c r="U137" s="91">
        <v>8.2224368949257851</v>
      </c>
      <c r="V137" s="12">
        <v>235.83460569317225</v>
      </c>
      <c r="W137" s="11">
        <v>12.425404463164231</v>
      </c>
      <c r="X137" s="11">
        <v>1844.7976933976131</v>
      </c>
      <c r="Y137" s="11">
        <v>150.54690213922262</v>
      </c>
      <c r="Z137" s="11">
        <v>3.6282720976106031</v>
      </c>
      <c r="AA137" s="11">
        <v>2.2834014744197604</v>
      </c>
      <c r="AB137" s="13">
        <v>11.609423568320112</v>
      </c>
      <c r="AC137" s="14">
        <v>1026.2480667398388</v>
      </c>
      <c r="AD137" s="15">
        <v>4</v>
      </c>
      <c r="AE137" s="9">
        <v>1.432912316722698</v>
      </c>
      <c r="AF137" s="9">
        <v>5.9283784223592333</v>
      </c>
      <c r="AG137" s="9">
        <v>9.1240108409514509</v>
      </c>
      <c r="AH137" s="9">
        <v>13.593567435433922</v>
      </c>
      <c r="AI137" s="9">
        <v>8.7062435193520678</v>
      </c>
      <c r="AJ137" s="9">
        <v>2.5663890197561923</v>
      </c>
      <c r="AK137" s="9">
        <v>0.862414743151661</v>
      </c>
      <c r="AL137" s="9">
        <v>1.6014828146561022</v>
      </c>
      <c r="AM137" s="9">
        <v>6.0354245116085066</v>
      </c>
      <c r="AN137" s="9">
        <v>8.9840085364369546</v>
      </c>
      <c r="AO137" s="9">
        <v>9.5412658268536497</v>
      </c>
      <c r="AP137" s="9">
        <v>6.3912099168862762</v>
      </c>
      <c r="AQ137" s="9">
        <v>6.1984113036790811</v>
      </c>
      <c r="AR137" s="9">
        <v>1.2782969980721159</v>
      </c>
      <c r="AS137" s="9">
        <v>6.0507986824742028</v>
      </c>
      <c r="AT137" s="9">
        <v>9.3107138185679137</v>
      </c>
      <c r="AU137" s="9">
        <v>14.072749227262891</v>
      </c>
      <c r="AV137" s="9">
        <v>8.8465856790573749</v>
      </c>
      <c r="AW137" s="9">
        <v>2.4738976128810379</v>
      </c>
      <c r="AX137" s="9">
        <v>0.665264202912493</v>
      </c>
      <c r="AY137" s="9">
        <v>1.6011286204306874</v>
      </c>
      <c r="AZ137" s="9">
        <v>6.1424070166679359</v>
      </c>
      <c r="BA137" s="9">
        <v>9.2465652142982364</v>
      </c>
      <c r="BB137" s="9">
        <v>9.7580266752184279</v>
      </c>
      <c r="BC137" s="9">
        <v>6.3927784011078863</v>
      </c>
      <c r="BD137" s="9">
        <v>6.1916608292888506</v>
      </c>
    </row>
    <row r="138" spans="3:56" x14ac:dyDescent="0.25">
      <c r="C138" s="111">
        <v>33.186799999999998</v>
      </c>
      <c r="F138" s="111">
        <v>15.468999999999999</v>
      </c>
      <c r="G138" s="112">
        <v>50</v>
      </c>
      <c r="J138" s="111">
        <v>2221.83</v>
      </c>
      <c r="K138" s="111">
        <v>2009.67</v>
      </c>
      <c r="L138" s="91">
        <v>8.0485036885430681</v>
      </c>
      <c r="M138" s="12">
        <v>377.0326169622515</v>
      </c>
      <c r="N138" s="11">
        <v>14.066547142169133</v>
      </c>
      <c r="O138" s="11">
        <v>1842.714036157626</v>
      </c>
      <c r="P138" s="11">
        <v>152.88941670020472</v>
      </c>
      <c r="Q138" s="11">
        <v>3.6583074800867035</v>
      </c>
      <c r="R138" s="11">
        <v>2.3454487141111988</v>
      </c>
      <c r="S138" s="13">
        <v>11.526548438678516</v>
      </c>
      <c r="T138" s="14">
        <v>1024.694594563935</v>
      </c>
      <c r="U138" s="91">
        <v>8.216143034036417</v>
      </c>
      <c r="V138" s="12">
        <v>239.75590795800755</v>
      </c>
      <c r="W138" s="11">
        <v>12.632951100363963</v>
      </c>
      <c r="X138" s="11">
        <v>1848.4109300828641</v>
      </c>
      <c r="Y138" s="11">
        <v>148.62611881677188</v>
      </c>
      <c r="Z138" s="11">
        <v>3.5822181607996213</v>
      </c>
      <c r="AA138" s="11">
        <v>2.2543571731681924</v>
      </c>
      <c r="AB138" s="13">
        <v>11.69662677919</v>
      </c>
      <c r="AC138" s="14">
        <v>1026.238001766568</v>
      </c>
      <c r="AD138" s="15">
        <v>4</v>
      </c>
      <c r="AE138" s="9">
        <v>1.4281914164723526</v>
      </c>
      <c r="AF138" s="9">
        <v>5.9312332506431202</v>
      </c>
      <c r="AG138" s="9">
        <v>9.1295842087156398</v>
      </c>
      <c r="AH138" s="9">
        <v>13.608128714926403</v>
      </c>
      <c r="AI138" s="9">
        <v>8.7097372838226317</v>
      </c>
      <c r="AJ138" s="9">
        <v>2.5631441255283804</v>
      </c>
      <c r="AK138" s="9">
        <v>0.8557063562695727</v>
      </c>
      <c r="AL138" s="9">
        <v>1.6008429299524809</v>
      </c>
      <c r="AM138" s="9">
        <v>6.0378457990559324</v>
      </c>
      <c r="AN138" s="9">
        <v>8.9914643316507998</v>
      </c>
      <c r="AO138" s="9">
        <v>9.5469997448576258</v>
      </c>
      <c r="AP138" s="9">
        <v>6.3898193217410348</v>
      </c>
      <c r="AQ138" s="9">
        <v>6.1967650577403051</v>
      </c>
      <c r="AR138" s="9">
        <v>1.2782645025894215</v>
      </c>
      <c r="AS138" s="9">
        <v>6.0508493211738799</v>
      </c>
      <c r="AT138" s="9">
        <v>9.3108464250856233</v>
      </c>
      <c r="AU138" s="9">
        <v>14.072830745840168</v>
      </c>
      <c r="AV138" s="9">
        <v>8.8466564345720542</v>
      </c>
      <c r="AW138" s="9">
        <v>2.4740002946668969</v>
      </c>
      <c r="AX138" s="9">
        <v>0.66540047905602384</v>
      </c>
      <c r="AY138" s="9">
        <v>1.6011613146676227</v>
      </c>
      <c r="AZ138" s="9">
        <v>6.1424691636555959</v>
      </c>
      <c r="BA138" s="9">
        <v>9.2464980417381302</v>
      </c>
      <c r="BB138" s="9">
        <v>9.7580562761250782</v>
      </c>
      <c r="BC138" s="9">
        <v>6.3929734348593579</v>
      </c>
      <c r="BD138" s="9">
        <v>6.191844128952356</v>
      </c>
    </row>
    <row r="139" spans="3:56" x14ac:dyDescent="0.25">
      <c r="C139" s="111">
        <v>33.443899999999999</v>
      </c>
      <c r="F139" s="111">
        <v>10.11</v>
      </c>
      <c r="G139" s="112">
        <v>99</v>
      </c>
      <c r="J139" s="111">
        <v>2222.79</v>
      </c>
      <c r="K139" s="111">
        <v>2125.84</v>
      </c>
      <c r="L139" s="91">
        <v>7.8340270432577306</v>
      </c>
      <c r="M139" s="12">
        <v>646.7743323541107</v>
      </c>
      <c r="N139" s="11">
        <v>28.531389060355821</v>
      </c>
      <c r="O139" s="11">
        <v>2013.8089384942755</v>
      </c>
      <c r="P139" s="11">
        <v>83.499672445368589</v>
      </c>
      <c r="Q139" s="11">
        <v>1.9714117031680267</v>
      </c>
      <c r="R139" s="11">
        <v>1.2521547807944662</v>
      </c>
      <c r="S139" s="13">
        <v>16.068679976030815</v>
      </c>
      <c r="T139" s="14">
        <v>1026.1671874652613</v>
      </c>
      <c r="U139" s="91">
        <v>7.9163985542811615</v>
      </c>
      <c r="V139" s="12">
        <v>521.16547190721178</v>
      </c>
      <c r="W139" s="11">
        <v>27.41910603328132</v>
      </c>
      <c r="X139" s="11">
        <v>2016.6027073726489</v>
      </c>
      <c r="Y139" s="11">
        <v>81.818186594069729</v>
      </c>
      <c r="Z139" s="11">
        <v>1.9693365455842962</v>
      </c>
      <c r="AA139" s="11">
        <v>1.240006037250196</v>
      </c>
      <c r="AB139" s="13">
        <v>16.306340261603406</v>
      </c>
      <c r="AC139" s="14">
        <v>1026.4417669307072</v>
      </c>
      <c r="AD139" s="15">
        <v>4</v>
      </c>
      <c r="AE139" s="9">
        <v>1.3554298603808972</v>
      </c>
      <c r="AF139" s="9">
        <v>5.9853316950187603</v>
      </c>
      <c r="AG139" s="9">
        <v>9.2163605356171328</v>
      </c>
      <c r="AH139" s="9">
        <v>13.836023147277503</v>
      </c>
      <c r="AI139" s="9">
        <v>8.7729445139848643</v>
      </c>
      <c r="AJ139" s="9">
        <v>2.5148998598839372</v>
      </c>
      <c r="AK139" s="9">
        <v>0.75634603720860449</v>
      </c>
      <c r="AL139" s="9">
        <v>1.5970501718728289</v>
      </c>
      <c r="AM139" s="9">
        <v>6.0840285562571497</v>
      </c>
      <c r="AN139" s="9">
        <v>9.1173110231358834</v>
      </c>
      <c r="AO139" s="9">
        <v>9.6471587301632411</v>
      </c>
      <c r="AP139" s="9">
        <v>6.380657560891609</v>
      </c>
      <c r="AQ139" s="9">
        <v>6.1835382465093414</v>
      </c>
      <c r="AR139" s="9">
        <v>1.2789223442115267</v>
      </c>
      <c r="AS139" s="9">
        <v>6.049831499408449</v>
      </c>
      <c r="AT139" s="9">
        <v>9.3081690505612809</v>
      </c>
      <c r="AU139" s="9">
        <v>14.071186809219544</v>
      </c>
      <c r="AV139" s="9">
        <v>8.8452298258106143</v>
      </c>
      <c r="AW139" s="9">
        <v>2.4719252171804285</v>
      </c>
      <c r="AX139" s="9">
        <v>0.66262902209474139</v>
      </c>
      <c r="AY139" s="9">
        <v>1.6005049221762386</v>
      </c>
      <c r="AZ139" s="9">
        <v>6.1412249174578806</v>
      </c>
      <c r="BA139" s="9">
        <v>9.2479089616435317</v>
      </c>
      <c r="BB139" s="9">
        <v>9.7574617353533597</v>
      </c>
      <c r="BC139" s="9">
        <v>6.389035093009177</v>
      </c>
      <c r="BD139" s="9">
        <v>6.1881389523244543</v>
      </c>
    </row>
    <row r="140" spans="3:56" x14ac:dyDescent="0.25">
      <c r="C140" s="111">
        <v>33.918500000000002</v>
      </c>
      <c r="F140" s="111">
        <v>8.9369999999999994</v>
      </c>
      <c r="G140" s="112">
        <v>168</v>
      </c>
      <c r="J140" s="111">
        <v>2254.39</v>
      </c>
      <c r="K140" s="111">
        <v>2194.94</v>
      </c>
      <c r="L140" s="91">
        <v>7.7239439212669962</v>
      </c>
      <c r="M140" s="12">
        <v>850.46769110405774</v>
      </c>
      <c r="N140" s="11">
        <v>38.906236532495043</v>
      </c>
      <c r="O140" s="11">
        <v>2090.7752009853348</v>
      </c>
      <c r="P140" s="11">
        <v>65.258562482170063</v>
      </c>
      <c r="Q140" s="11">
        <v>1.5163081948276704</v>
      </c>
      <c r="R140" s="11">
        <v>0.96290600783138403</v>
      </c>
      <c r="S140" s="13">
        <v>17.720459806338475</v>
      </c>
      <c r="T140" s="14">
        <v>1027.0451921859412</v>
      </c>
      <c r="U140" s="91">
        <v>7.789584410347909</v>
      </c>
      <c r="V140" s="12">
        <v>723.24704540614414</v>
      </c>
      <c r="W140" s="11">
        <v>37.944598794556192</v>
      </c>
      <c r="X140" s="11">
        <v>2092.8656274305622</v>
      </c>
      <c r="Y140" s="11">
        <v>64.129773774881528</v>
      </c>
      <c r="Z140" s="11">
        <v>1.539689429915357</v>
      </c>
      <c r="AA140" s="11">
        <v>0.97038295904106064</v>
      </c>
      <c r="AB140" s="13">
        <v>17.967754163823937</v>
      </c>
      <c r="AC140" s="14">
        <v>1026.8179617717271</v>
      </c>
      <c r="AD140" s="15">
        <v>4</v>
      </c>
      <c r="AE140" s="9">
        <v>1.3396385968247813</v>
      </c>
      <c r="AF140" s="9">
        <v>5.9936558038257317</v>
      </c>
      <c r="AG140" s="9">
        <v>9.2296137585842306</v>
      </c>
      <c r="AH140" s="9">
        <v>13.88261784613732</v>
      </c>
      <c r="AI140" s="9">
        <v>8.7817997321939405</v>
      </c>
      <c r="AJ140" s="9">
        <v>2.4996855093440371</v>
      </c>
      <c r="AK140" s="9">
        <v>0.72764330078384232</v>
      </c>
      <c r="AL140" s="9">
        <v>1.5940155387071437</v>
      </c>
      <c r="AM140" s="9">
        <v>6.0905533017393969</v>
      </c>
      <c r="AN140" s="9">
        <v>9.1450405007870419</v>
      </c>
      <c r="AO140" s="9">
        <v>9.6659768758609275</v>
      </c>
      <c r="AP140" s="9">
        <v>6.3675952597975147</v>
      </c>
      <c r="AQ140" s="9">
        <v>6.1703916740855274</v>
      </c>
      <c r="AR140" s="9">
        <v>1.2801367029585169</v>
      </c>
      <c r="AS140" s="9">
        <v>6.0479930302129841</v>
      </c>
      <c r="AT140" s="9">
        <v>9.3032660477806957</v>
      </c>
      <c r="AU140" s="9">
        <v>14.068186771591735</v>
      </c>
      <c r="AV140" s="9">
        <v>8.8426280416338425</v>
      </c>
      <c r="AW140" s="9">
        <v>2.4681144739111542</v>
      </c>
      <c r="AX140" s="9">
        <v>0.65744096279273934</v>
      </c>
      <c r="AY140" s="9">
        <v>1.5993231611748446</v>
      </c>
      <c r="AZ140" s="9">
        <v>6.1390038698237017</v>
      </c>
      <c r="BA140" s="9">
        <v>9.2507927260904221</v>
      </c>
      <c r="BB140" s="9">
        <v>9.7563899340706737</v>
      </c>
      <c r="BC140" s="9">
        <v>6.3818187010169778</v>
      </c>
      <c r="BD140" s="9">
        <v>6.1813287339491065</v>
      </c>
    </row>
    <row r="141" spans="3:56" x14ac:dyDescent="0.25">
      <c r="C141" s="111">
        <v>34.058900000000001</v>
      </c>
      <c r="F141" s="111">
        <v>7.7389999999999999</v>
      </c>
      <c r="G141" s="112">
        <v>270</v>
      </c>
      <c r="J141" s="111">
        <v>2264.15</v>
      </c>
      <c r="K141" s="111">
        <v>2214.79</v>
      </c>
      <c r="L141" s="91">
        <v>7.7024279005085594</v>
      </c>
      <c r="M141" s="12">
        <v>884.92598128942825</v>
      </c>
      <c r="N141" s="11">
        <v>42.131239442083398</v>
      </c>
      <c r="O141" s="11">
        <v>2112.2245756169541</v>
      </c>
      <c r="P141" s="11">
        <v>60.434184940962446</v>
      </c>
      <c r="Q141" s="11">
        <v>1.3756055948349948</v>
      </c>
      <c r="R141" s="11">
        <v>0.8732413759938884</v>
      </c>
      <c r="S141" s="13">
        <v>18.150661318144824</v>
      </c>
      <c r="T141" s="14">
        <v>1027.8056734921929</v>
      </c>
      <c r="U141" s="91">
        <v>7.7540643353932781</v>
      </c>
      <c r="V141" s="12">
        <v>792.26408859091214</v>
      </c>
      <c r="W141" s="11">
        <v>41.531156654195662</v>
      </c>
      <c r="X141" s="11">
        <v>2113.38762313813</v>
      </c>
      <c r="Y141" s="11">
        <v>59.871220207674178</v>
      </c>
      <c r="Z141" s="11">
        <v>1.4363612399300454</v>
      </c>
      <c r="AA141" s="11">
        <v>0.90549869814206496</v>
      </c>
      <c r="AB141" s="13">
        <v>18.311523267796773</v>
      </c>
      <c r="AC141" s="14">
        <v>1026.92926321816</v>
      </c>
      <c r="AD141" s="15">
        <v>4</v>
      </c>
      <c r="AE141" s="9">
        <v>1.3223027104576202</v>
      </c>
      <c r="AF141" s="9">
        <v>6.0022920448511519</v>
      </c>
      <c r="AG141" s="9">
        <v>9.2458853225417101</v>
      </c>
      <c r="AH141" s="9">
        <v>13.931986344635392</v>
      </c>
      <c r="AI141" s="9">
        <v>8.7912134856760531</v>
      </c>
      <c r="AJ141" s="9">
        <v>2.4862530803698952</v>
      </c>
      <c r="AK141" s="9">
        <v>0.70017275331480533</v>
      </c>
      <c r="AL141" s="9">
        <v>1.5911960299972088</v>
      </c>
      <c r="AM141" s="9">
        <v>6.09798001571329</v>
      </c>
      <c r="AN141" s="9">
        <v>9.1705409052854083</v>
      </c>
      <c r="AO141" s="9">
        <v>9.6846322447343063</v>
      </c>
      <c r="AP141" s="9">
        <v>6.3568625652991262</v>
      </c>
      <c r="AQ141" s="9">
        <v>6.1595029370929906</v>
      </c>
      <c r="AR141" s="9">
        <v>1.280495944357753</v>
      </c>
      <c r="AS141" s="9">
        <v>6.0474592022041964</v>
      </c>
      <c r="AT141" s="9">
        <v>9.3018253856910285</v>
      </c>
      <c r="AU141" s="9">
        <v>14.067307775273743</v>
      </c>
      <c r="AV141" s="9">
        <v>8.8418661826417608</v>
      </c>
      <c r="AW141" s="9">
        <v>2.46699200541148</v>
      </c>
      <c r="AX141" s="9">
        <v>0.65588768402179942</v>
      </c>
      <c r="AY141" s="9">
        <v>1.5989809074294798</v>
      </c>
      <c r="AZ141" s="9">
        <v>6.1383654259385469</v>
      </c>
      <c r="BA141" s="9">
        <v>9.2517143627797207</v>
      </c>
      <c r="BB141" s="9">
        <v>9.756079172312047</v>
      </c>
      <c r="BC141" s="9">
        <v>6.3796968688928981</v>
      </c>
      <c r="BD141" s="9">
        <v>6.1793210219301571</v>
      </c>
    </row>
    <row r="142" spans="3:56" x14ac:dyDescent="0.25">
      <c r="C142" s="111">
        <v>34.135300000000001</v>
      </c>
      <c r="F142" s="111">
        <v>7.3650000000000002</v>
      </c>
      <c r="G142" s="112">
        <v>320</v>
      </c>
      <c r="J142" s="111">
        <v>2284.15</v>
      </c>
      <c r="K142" s="111">
        <v>2264.7199999999998</v>
      </c>
      <c r="L142" s="91">
        <v>7.6034520369095207</v>
      </c>
      <c r="M142" s="12">
        <v>1127.974181251361</v>
      </c>
      <c r="N142" s="11">
        <v>54.374955141387133</v>
      </c>
      <c r="O142" s="11">
        <v>2161.5798366680747</v>
      </c>
      <c r="P142" s="11">
        <v>48.765208190537933</v>
      </c>
      <c r="Q142" s="11">
        <v>1.0987518543231443</v>
      </c>
      <c r="R142" s="11">
        <v>0.6976286417947456</v>
      </c>
      <c r="S142" s="13">
        <v>18.774156761945751</v>
      </c>
      <c r="T142" s="14">
        <v>1028.1491834953058</v>
      </c>
      <c r="U142" s="91">
        <v>7.6507889757569378</v>
      </c>
      <c r="V142" s="12">
        <v>1028.0705260307366</v>
      </c>
      <c r="W142" s="11">
        <v>53.868077895122141</v>
      </c>
      <c r="X142" s="11">
        <v>2162.468622971458</v>
      </c>
      <c r="Y142" s="11">
        <v>48.383299133419307</v>
      </c>
      <c r="Z142" s="11">
        <v>1.1602777718963768</v>
      </c>
      <c r="AA142" s="11">
        <v>0.73155513882312095</v>
      </c>
      <c r="AB142" s="13">
        <v>18.919137326511443</v>
      </c>
      <c r="AC142" s="14">
        <v>1026.9898313706494</v>
      </c>
      <c r="AD142" s="15">
        <v>4</v>
      </c>
      <c r="AE142" s="9">
        <v>1.3169002473081701</v>
      </c>
      <c r="AF142" s="9">
        <v>6.00407966801043</v>
      </c>
      <c r="AG142" s="9">
        <v>9.2501132348197252</v>
      </c>
      <c r="AH142" s="9">
        <v>13.946658409930318</v>
      </c>
      <c r="AI142" s="9">
        <v>8.793033976569248</v>
      </c>
      <c r="AJ142" s="9">
        <v>2.481451220626071</v>
      </c>
      <c r="AK142" s="9">
        <v>0.69056681014932575</v>
      </c>
      <c r="AL142" s="9">
        <v>1.5897945224677819</v>
      </c>
      <c r="AM142" s="9">
        <v>6.0994634905926217</v>
      </c>
      <c r="AN142" s="9">
        <v>9.1779062369201458</v>
      </c>
      <c r="AO142" s="9">
        <v>9.6894808014023788</v>
      </c>
      <c r="AP142" s="9">
        <v>6.3514677328493843</v>
      </c>
      <c r="AQ142" s="9">
        <v>6.1541924144797671</v>
      </c>
      <c r="AR142" s="9">
        <v>1.2806914289938047</v>
      </c>
      <c r="AS142" s="9">
        <v>6.0471706405634649</v>
      </c>
      <c r="AT142" s="9">
        <v>9.3010433119396581</v>
      </c>
      <c r="AU142" s="9">
        <v>14.066831074809224</v>
      </c>
      <c r="AV142" s="9">
        <v>8.8414531013291615</v>
      </c>
      <c r="AW142" s="9">
        <v>2.4663821251744493</v>
      </c>
      <c r="AX142" s="9">
        <v>0.65503881280411691</v>
      </c>
      <c r="AY142" s="9">
        <v>1.5987960613099224</v>
      </c>
      <c r="AZ142" s="9">
        <v>6.1380215431513694</v>
      </c>
      <c r="BA142" s="9">
        <v>9.2522288940509725</v>
      </c>
      <c r="BB142" s="9">
        <v>9.7559112655928732</v>
      </c>
      <c r="BC142" s="9">
        <v>6.3785446883195975</v>
      </c>
      <c r="BD142" s="9">
        <v>6.1782297813910763</v>
      </c>
    </row>
    <row r="143" spans="3:56" x14ac:dyDescent="0.25">
      <c r="C143" s="111">
        <v>34.261899999999997</v>
      </c>
      <c r="F143" s="111">
        <v>5.8890000000000002</v>
      </c>
      <c r="G143" s="112">
        <v>516</v>
      </c>
      <c r="J143" s="111">
        <v>2315.91</v>
      </c>
      <c r="K143" s="111">
        <v>2316.7399999999998</v>
      </c>
      <c r="L143" s="91">
        <v>7.5467344386487882</v>
      </c>
      <c r="M143" s="12">
        <v>1272.0894041953868</v>
      </c>
      <c r="N143" s="11">
        <v>64.524446710268975</v>
      </c>
      <c r="O143" s="11">
        <v>2210.2912705228391</v>
      </c>
      <c r="P143" s="11">
        <v>41.924282766891864</v>
      </c>
      <c r="Q143" s="11">
        <v>0.90781167332817958</v>
      </c>
      <c r="R143" s="11">
        <v>0.57672878294596164</v>
      </c>
      <c r="S143" s="13">
        <v>18.889669162413206</v>
      </c>
      <c r="T143" s="14">
        <v>1029.3528420288287</v>
      </c>
      <c r="U143" s="91">
        <v>7.5810231994948101</v>
      </c>
      <c r="V143" s="12">
        <v>1233.294811580487</v>
      </c>
      <c r="W143" s="11">
        <v>64.573086285163541</v>
      </c>
      <c r="X143" s="11">
        <v>2209.9338869572302</v>
      </c>
      <c r="Y143" s="11">
        <v>42.23302675760614</v>
      </c>
      <c r="Z143" s="11">
        <v>1.0120941501971112</v>
      </c>
      <c r="AA143" s="11">
        <v>0.63827111294806604</v>
      </c>
      <c r="AB143" s="13">
        <v>18.876351650522366</v>
      </c>
      <c r="AC143" s="14">
        <v>1027.0902006727615</v>
      </c>
      <c r="AD143" s="15">
        <v>4</v>
      </c>
      <c r="AE143" s="9">
        <v>1.2947933459928858</v>
      </c>
      <c r="AF143" s="9">
        <v>6.012009219398414</v>
      </c>
      <c r="AG143" s="9">
        <v>9.2687183055960638</v>
      </c>
      <c r="AH143" s="9">
        <v>14.006249807743872</v>
      </c>
      <c r="AI143" s="9">
        <v>8.8012717101531841</v>
      </c>
      <c r="AJ143" s="9">
        <v>2.4638435077308611</v>
      </c>
      <c r="AK143" s="9">
        <v>0.6540719455346391</v>
      </c>
      <c r="AL143" s="9">
        <v>1.5848016178917075</v>
      </c>
      <c r="AM143" s="9">
        <v>6.1064013484818336</v>
      </c>
      <c r="AN143" s="9">
        <v>9.2061349978181255</v>
      </c>
      <c r="AO143" s="9">
        <v>9.7092814374368395</v>
      </c>
      <c r="AP143" s="9">
        <v>6.3326005967560732</v>
      </c>
      <c r="AQ143" s="9">
        <v>6.1355764602207152</v>
      </c>
      <c r="AR143" s="9">
        <v>1.2810153603409788</v>
      </c>
      <c r="AS143" s="9">
        <v>6.0466954622031199</v>
      </c>
      <c r="AT143" s="9">
        <v>9.2997502733227506</v>
      </c>
      <c r="AU143" s="9">
        <v>14.066043641026949</v>
      </c>
      <c r="AV143" s="9">
        <v>8.8407709050069876</v>
      </c>
      <c r="AW143" s="9">
        <v>2.4653729347417728</v>
      </c>
      <c r="AX143" s="9">
        <v>0.65362645930985341</v>
      </c>
      <c r="AY143" s="9">
        <v>1.5984919115664886</v>
      </c>
      <c r="AZ143" s="9">
        <v>6.1374571594971652</v>
      </c>
      <c r="BA143" s="9">
        <v>9.2531015981449976</v>
      </c>
      <c r="BB143" s="9">
        <v>9.7556348808015549</v>
      </c>
      <c r="BC143" s="9">
        <v>6.3766391824552429</v>
      </c>
      <c r="BD143" s="9">
        <v>6.1764234572223558</v>
      </c>
    </row>
    <row r="144" spans="3:56" x14ac:dyDescent="0.25">
      <c r="C144" s="111">
        <v>33.2117</v>
      </c>
      <c r="F144" s="111">
        <v>15.368</v>
      </c>
      <c r="G144" s="112">
        <v>10</v>
      </c>
      <c r="J144" s="111">
        <v>2223.87</v>
      </c>
      <c r="K144" s="111">
        <v>2011.28</v>
      </c>
      <c r="L144" s="91">
        <v>8.0518031644821217</v>
      </c>
      <c r="M144" s="12">
        <v>375.62337008763427</v>
      </c>
      <c r="N144" s="11">
        <v>14.054714789418679</v>
      </c>
      <c r="O144" s="11">
        <v>1843.9845079194258</v>
      </c>
      <c r="P144" s="11">
        <v>153.24077729115535</v>
      </c>
      <c r="Q144" s="11">
        <v>3.6907056786032557</v>
      </c>
      <c r="R144" s="11">
        <v>2.3647171126667779</v>
      </c>
      <c r="S144" s="13">
        <v>11.520838940577086</v>
      </c>
      <c r="T144" s="14">
        <v>1024.5584506238461</v>
      </c>
      <c r="U144" s="91">
        <v>8.2164650803317034</v>
      </c>
      <c r="V144" s="12">
        <v>239.72818525266663</v>
      </c>
      <c r="W144" s="11">
        <v>12.62963744485751</v>
      </c>
      <c r="X144" s="11">
        <v>1849.7195687780975</v>
      </c>
      <c r="Y144" s="11">
        <v>148.9307937770449</v>
      </c>
      <c r="Z144" s="11">
        <v>3.589093615150273</v>
      </c>
      <c r="AA144" s="11">
        <v>2.2588035697429572</v>
      </c>
      <c r="AB144" s="13">
        <v>11.689508739662438</v>
      </c>
      <c r="AC144" s="14">
        <v>1026.2577354971984</v>
      </c>
      <c r="AD144" s="15">
        <v>4</v>
      </c>
      <c r="AE144" s="9">
        <v>1.4269305679027831</v>
      </c>
      <c r="AF144" s="9">
        <v>5.9338679333866082</v>
      </c>
      <c r="AG144" s="9">
        <v>9.1321860863154498</v>
      </c>
      <c r="AH144" s="9">
        <v>13.613552311927203</v>
      </c>
      <c r="AI144" s="9">
        <v>8.7128329090537182</v>
      </c>
      <c r="AJ144" s="9">
        <v>2.562838892451289</v>
      </c>
      <c r="AK144" s="9">
        <v>0.85500125517565151</v>
      </c>
      <c r="AL144" s="9">
        <v>1.6016258673635813</v>
      </c>
      <c r="AM144" s="9">
        <v>6.0401048250112233</v>
      </c>
      <c r="AN144" s="9">
        <v>8.9956361180505251</v>
      </c>
      <c r="AO144" s="9">
        <v>9.5508216101034655</v>
      </c>
      <c r="AP144" s="9">
        <v>6.3923258790483013</v>
      </c>
      <c r="AQ144" s="9">
        <v>6.1989956602253704</v>
      </c>
      <c r="AR144" s="9">
        <v>1.2783282142050982</v>
      </c>
      <c r="AS144" s="9">
        <v>6.0507500727817645</v>
      </c>
      <c r="AT144" s="9">
        <v>9.3105864672255585</v>
      </c>
      <c r="AU144" s="9">
        <v>14.072670948803342</v>
      </c>
      <c r="AV144" s="9">
        <v>8.8465177371593047</v>
      </c>
      <c r="AW144" s="9">
        <v>2.4737989912609755</v>
      </c>
      <c r="AX144" s="9">
        <v>0.66513323128792057</v>
      </c>
      <c r="AY144" s="9">
        <v>1.6010972399190369</v>
      </c>
      <c r="AZ144" s="9">
        <v>6.1423473836689535</v>
      </c>
      <c r="BA144" s="9">
        <v>9.2466299900431395</v>
      </c>
      <c r="BB144" s="9">
        <v>9.7579982625190933</v>
      </c>
      <c r="BC144" s="9">
        <v>6.3925910942628308</v>
      </c>
      <c r="BD144" s="9">
        <v>6.1914847733903633</v>
      </c>
    </row>
    <row r="145" spans="3:56" x14ac:dyDescent="0.25">
      <c r="C145" s="111">
        <v>33.209699999999998</v>
      </c>
      <c r="F145" s="111">
        <v>15.199</v>
      </c>
      <c r="G145" s="112">
        <v>30</v>
      </c>
      <c r="J145" s="111">
        <v>2223.15</v>
      </c>
      <c r="K145" s="111">
        <v>2010.34</v>
      </c>
      <c r="L145" s="91">
        <v>8.0542921652913897</v>
      </c>
      <c r="M145" s="12">
        <v>372.14957094452859</v>
      </c>
      <c r="N145" s="11">
        <v>13.996121508235419</v>
      </c>
      <c r="O145" s="11">
        <v>1843.0992052479417</v>
      </c>
      <c r="P145" s="11">
        <v>153.24467324382272</v>
      </c>
      <c r="Q145" s="11">
        <v>3.6779043789852204</v>
      </c>
      <c r="R145" s="11">
        <v>2.3561882142015462</v>
      </c>
      <c r="S145" s="13">
        <v>11.516044928763558</v>
      </c>
      <c r="T145" s="14">
        <v>1024.6828461925661</v>
      </c>
      <c r="U145" s="91">
        <v>8.2170660833192528</v>
      </c>
      <c r="V145" s="12">
        <v>239.26471677384708</v>
      </c>
      <c r="W145" s="11">
        <v>12.605368993856498</v>
      </c>
      <c r="X145" s="11">
        <v>1848.6879366499456</v>
      </c>
      <c r="Y145" s="11">
        <v>149.04669435619763</v>
      </c>
      <c r="Z145" s="11">
        <v>3.5919243337751769</v>
      </c>
      <c r="AA145" s="11">
        <v>2.2605754953051367</v>
      </c>
      <c r="AB145" s="13">
        <v>11.680679085208027</v>
      </c>
      <c r="AC145" s="14">
        <v>1026.2561504521279</v>
      </c>
      <c r="AD145" s="15">
        <v>4</v>
      </c>
      <c r="AE145" s="9">
        <v>1.4247098184422182</v>
      </c>
      <c r="AF145" s="9">
        <v>5.9347511576235288</v>
      </c>
      <c r="AG145" s="9">
        <v>9.1344554896843064</v>
      </c>
      <c r="AH145" s="9">
        <v>13.620024765037316</v>
      </c>
      <c r="AI145" s="9">
        <v>8.7139250532320816</v>
      </c>
      <c r="AJ145" s="9">
        <v>2.5610852139901659</v>
      </c>
      <c r="AK145" s="9">
        <v>0.85147457092027656</v>
      </c>
      <c r="AL145" s="9">
        <v>1.6010741053434765</v>
      </c>
      <c r="AM145" s="9">
        <v>6.0408273165758608</v>
      </c>
      <c r="AN145" s="9">
        <v>8.9986927207019036</v>
      </c>
      <c r="AO145" s="9">
        <v>9.5529872725518299</v>
      </c>
      <c r="AP145" s="9">
        <v>6.390832012565653</v>
      </c>
      <c r="AQ145" s="9">
        <v>6.1974415579338578</v>
      </c>
      <c r="AR145" s="9">
        <v>1.2783230968062489</v>
      </c>
      <c r="AS145" s="9">
        <v>6.0507580392094216</v>
      </c>
      <c r="AT145" s="9">
        <v>9.3106073421816138</v>
      </c>
      <c r="AU145" s="9">
        <v>14.07268377927511</v>
      </c>
      <c r="AV145" s="9">
        <v>8.8465288732977125</v>
      </c>
      <c r="AW145" s="9">
        <v>2.4738151575598142</v>
      </c>
      <c r="AX145" s="9">
        <v>0.66515470612496186</v>
      </c>
      <c r="AY145" s="9">
        <v>1.6011023824828483</v>
      </c>
      <c r="AZ145" s="9">
        <v>6.1423571550554241</v>
      </c>
      <c r="BA145" s="9">
        <v>9.246619354435337</v>
      </c>
      <c r="BB145" s="9">
        <v>9.7580029188069304</v>
      </c>
      <c r="BC145" s="9">
        <v>6.3926217970543142</v>
      </c>
      <c r="BD145" s="9">
        <v>6.1915136331860499</v>
      </c>
    </row>
    <row r="146" spans="3:56" x14ac:dyDescent="0.25">
      <c r="C146" s="111">
        <v>33.2179</v>
      </c>
      <c r="F146" s="111">
        <v>15.159000000000001</v>
      </c>
      <c r="G146" s="112">
        <v>40</v>
      </c>
      <c r="J146" s="111">
        <v>2223.73</v>
      </c>
      <c r="K146" s="111">
        <v>2011.58</v>
      </c>
      <c r="L146" s="91">
        <v>8.0529625562987093</v>
      </c>
      <c r="M146" s="12">
        <v>373.14187202673389</v>
      </c>
      <c r="N146" s="11">
        <v>14.049785781195943</v>
      </c>
      <c r="O146" s="11">
        <v>1844.7224898147317</v>
      </c>
      <c r="P146" s="11">
        <v>152.80772440407208</v>
      </c>
      <c r="Q146" s="11">
        <v>3.6608919731208194</v>
      </c>
      <c r="R146" s="11">
        <v>2.3454004659551946</v>
      </c>
      <c r="S146" s="13">
        <v>11.537195244817413</v>
      </c>
      <c r="T146" s="14">
        <v>1024.7423381465908</v>
      </c>
      <c r="U146" s="91">
        <v>8.2154502743281732</v>
      </c>
      <c r="V146" s="12">
        <v>240.35541332932783</v>
      </c>
      <c r="W146" s="11">
        <v>12.662219264836819</v>
      </c>
      <c r="X146" s="11">
        <v>1850.2683552806425</v>
      </c>
      <c r="Y146" s="11">
        <v>148.64942545452044</v>
      </c>
      <c r="Z146" s="11">
        <v>3.5821965681903376</v>
      </c>
      <c r="AA146" s="11">
        <v>2.2544925388243975</v>
      </c>
      <c r="AB146" s="13">
        <v>11.701835297658983</v>
      </c>
      <c r="AC146" s="14">
        <v>1026.262649144096</v>
      </c>
      <c r="AD146" s="15">
        <v>4</v>
      </c>
      <c r="AE146" s="9">
        <v>1.4242042834772999</v>
      </c>
      <c r="AF146" s="9">
        <v>5.9347012163795236</v>
      </c>
      <c r="AG146" s="9">
        <v>9.1347482904627348</v>
      </c>
      <c r="AH146" s="9">
        <v>13.621317306207155</v>
      </c>
      <c r="AI146" s="9">
        <v>8.7138701967025174</v>
      </c>
      <c r="AJ146" s="9">
        <v>2.5605032659855165</v>
      </c>
      <c r="AK146" s="9">
        <v>0.85040066078668997</v>
      </c>
      <c r="AL146" s="9">
        <v>1.6007950491152723</v>
      </c>
      <c r="AM146" s="9">
        <v>6.0407492605950637</v>
      </c>
      <c r="AN146" s="9">
        <v>8.9992110731182962</v>
      </c>
      <c r="AO146" s="9">
        <v>9.5532158434754866</v>
      </c>
      <c r="AP146" s="9">
        <v>6.3899513506142984</v>
      </c>
      <c r="AQ146" s="9">
        <v>6.1965814439531357</v>
      </c>
      <c r="AR146" s="9">
        <v>1.2783440781415316</v>
      </c>
      <c r="AS146" s="9">
        <v>6.0507253827733072</v>
      </c>
      <c r="AT146" s="9">
        <v>9.3105217606265391</v>
      </c>
      <c r="AU146" s="9">
        <v>14.072631179479728</v>
      </c>
      <c r="AV146" s="9">
        <v>8.8464832198087429</v>
      </c>
      <c r="AW146" s="9">
        <v>2.4737488786741193</v>
      </c>
      <c r="AX146" s="9">
        <v>0.6650666491202275</v>
      </c>
      <c r="AY146" s="9">
        <v>1.6010813024119135</v>
      </c>
      <c r="AZ146" s="9">
        <v>6.142317103619872</v>
      </c>
      <c r="BA146" s="9">
        <v>9.2466630018684572</v>
      </c>
      <c r="BB146" s="9">
        <v>9.7579838318430223</v>
      </c>
      <c r="BC146" s="9">
        <v>6.392495923700718</v>
      </c>
      <c r="BD146" s="9">
        <v>6.1913953125720607</v>
      </c>
    </row>
    <row r="147" spans="3:56" x14ac:dyDescent="0.25">
      <c r="C147" s="111">
        <v>32.989600000000003</v>
      </c>
      <c r="F147" s="111">
        <v>12.526</v>
      </c>
      <c r="G147" s="112">
        <v>50</v>
      </c>
      <c r="J147" s="111">
        <v>2219.41</v>
      </c>
      <c r="K147" s="111">
        <v>2017.22</v>
      </c>
      <c r="L147" s="91">
        <v>8.0754866097442548</v>
      </c>
      <c r="M147" s="12">
        <v>350.30180482002822</v>
      </c>
      <c r="N147" s="11">
        <v>14.328665890669294</v>
      </c>
      <c r="O147" s="11">
        <v>1857.3162864168694</v>
      </c>
      <c r="P147" s="11">
        <v>145.57504769246154</v>
      </c>
      <c r="Q147" s="11">
        <v>3.4806275619995199</v>
      </c>
      <c r="R147" s="11">
        <v>2.2170962352717374</v>
      </c>
      <c r="S147" s="13">
        <v>11.877082546700514</v>
      </c>
      <c r="T147" s="14">
        <v>1025.1531573432351</v>
      </c>
      <c r="U147" s="91">
        <v>8.197173930858451</v>
      </c>
      <c r="V147" s="12">
        <v>252.37541962375241</v>
      </c>
      <c r="W147" s="11">
        <v>13.313343178963883</v>
      </c>
      <c r="X147" s="11">
        <v>1861.3181965522481</v>
      </c>
      <c r="Y147" s="11">
        <v>142.5884602687882</v>
      </c>
      <c r="Z147" s="11">
        <v>3.4402340270240792</v>
      </c>
      <c r="AA147" s="11">
        <v>2.1640814194102367</v>
      </c>
      <c r="AB147" s="13">
        <v>12.003371530532291</v>
      </c>
      <c r="AC147" s="14">
        <v>1026.0817231264464</v>
      </c>
      <c r="AD147" s="15">
        <v>4</v>
      </c>
      <c r="AE147" s="9">
        <v>1.3882366187762596</v>
      </c>
      <c r="AF147" s="9">
        <v>5.9628064988709024</v>
      </c>
      <c r="AG147" s="9">
        <v>9.1812855356695682</v>
      </c>
      <c r="AH147" s="9">
        <v>13.735176011078337</v>
      </c>
      <c r="AI147" s="9">
        <v>8.7474149964337755</v>
      </c>
      <c r="AJ147" s="9">
        <v>2.5400904208102504</v>
      </c>
      <c r="AK147" s="9">
        <v>0.80584924973490279</v>
      </c>
      <c r="AL147" s="9">
        <v>1.6000717974357908</v>
      </c>
      <c r="AM147" s="9">
        <v>6.0653440427331367</v>
      </c>
      <c r="AN147" s="9">
        <v>9.0599607683880059</v>
      </c>
      <c r="AO147" s="9">
        <v>9.6033703949551175</v>
      </c>
      <c r="AP147" s="9">
        <v>6.3920754826180524</v>
      </c>
      <c r="AQ147" s="9">
        <v>6.1962024722196611</v>
      </c>
      <c r="AR147" s="9">
        <v>1.2777599270628592</v>
      </c>
      <c r="AS147" s="9">
        <v>6.0516404347471191</v>
      </c>
      <c r="AT147" s="9">
        <v>9.3129101746170999</v>
      </c>
      <c r="AU147" s="9">
        <v>14.074100730921078</v>
      </c>
      <c r="AV147" s="9">
        <v>8.8477589133577261</v>
      </c>
      <c r="AW147" s="9">
        <v>2.4755970953641642</v>
      </c>
      <c r="AX147" s="9">
        <v>0.6675083209237217</v>
      </c>
      <c r="AY147" s="9">
        <v>1.6016726062281728</v>
      </c>
      <c r="AZ147" s="9">
        <v>6.1434433497013972</v>
      </c>
      <c r="BA147" s="9">
        <v>9.245488890236965</v>
      </c>
      <c r="BB147" s="9">
        <v>9.7585190256864927</v>
      </c>
      <c r="BC147" s="9">
        <v>6.396008476533245</v>
      </c>
      <c r="BD147" s="9">
        <v>6.1946940856686101</v>
      </c>
    </row>
    <row r="148" spans="3:56" x14ac:dyDescent="0.25">
      <c r="C148" s="111">
        <v>33.471499999999999</v>
      </c>
      <c r="F148" s="111">
        <v>9.7240000000000002</v>
      </c>
      <c r="G148" s="112">
        <v>100</v>
      </c>
      <c r="J148" s="111">
        <v>2227.7800000000002</v>
      </c>
      <c r="K148" s="111">
        <v>2133.5300000000002</v>
      </c>
      <c r="L148" s="91">
        <v>7.8309912207679178</v>
      </c>
      <c r="M148" s="12">
        <v>652.11490458643914</v>
      </c>
      <c r="N148" s="11">
        <v>29.132429283009738</v>
      </c>
      <c r="O148" s="11">
        <v>2022.3315327394537</v>
      </c>
      <c r="P148" s="11">
        <v>82.06603797753678</v>
      </c>
      <c r="Q148" s="11">
        <v>1.9366512948442027</v>
      </c>
      <c r="R148" s="11">
        <v>1.2293568995788937</v>
      </c>
      <c r="S148" s="13">
        <v>16.221526739562233</v>
      </c>
      <c r="T148" s="14">
        <v>1026.2584817736536</v>
      </c>
      <c r="U148" s="91">
        <v>7.9074425760120963</v>
      </c>
      <c r="V148" s="12">
        <v>534.16716173350528</v>
      </c>
      <c r="W148" s="11">
        <v>28.098570221583277</v>
      </c>
      <c r="X148" s="11">
        <v>2024.900316603562</v>
      </c>
      <c r="Y148" s="11">
        <v>80.531113174854966</v>
      </c>
      <c r="Z148" s="11">
        <v>1.9380746392941326</v>
      </c>
      <c r="AA148" s="11">
        <v>1.2203905621944129</v>
      </c>
      <c r="AB148" s="13">
        <v>16.44597047768211</v>
      </c>
      <c r="AC148" s="14">
        <v>1026.4636424866271</v>
      </c>
      <c r="AD148" s="15">
        <v>4</v>
      </c>
      <c r="AE148" s="9">
        <v>1.3499474255474675</v>
      </c>
      <c r="AF148" s="9">
        <v>5.9895155681268113</v>
      </c>
      <c r="AG148" s="9">
        <v>9.2226801074582472</v>
      </c>
      <c r="AH148" s="9">
        <v>13.852912701784133</v>
      </c>
      <c r="AI148" s="9">
        <v>8.777687050261413</v>
      </c>
      <c r="AJ148" s="9">
        <v>2.5113317785819991</v>
      </c>
      <c r="AK148" s="9">
        <v>0.74892145191578552</v>
      </c>
      <c r="AL148" s="9">
        <v>1.5969216265047761</v>
      </c>
      <c r="AM148" s="9">
        <v>6.0876497038119117</v>
      </c>
      <c r="AN148" s="9">
        <v>9.1267392823543538</v>
      </c>
      <c r="AO148" s="9">
        <v>9.6547430171727271</v>
      </c>
      <c r="AP148" s="9">
        <v>6.3800947068333578</v>
      </c>
      <c r="AQ148" s="9">
        <v>6.1827212592646541</v>
      </c>
      <c r="AR148" s="9">
        <v>1.2789929643156501</v>
      </c>
      <c r="AS148" s="9">
        <v>6.0497231493883108</v>
      </c>
      <c r="AT148" s="9">
        <v>9.3078825219460271</v>
      </c>
      <c r="AU148" s="9">
        <v>14.071011119363336</v>
      </c>
      <c r="AV148" s="9">
        <v>8.8450773977233066</v>
      </c>
      <c r="AW148" s="9">
        <v>2.4717029061271956</v>
      </c>
      <c r="AX148" s="9">
        <v>0.66232990119354662</v>
      </c>
      <c r="AY148" s="9">
        <v>1.6004351392312575</v>
      </c>
      <c r="AZ148" s="9">
        <v>6.1410930726875677</v>
      </c>
      <c r="BA148" s="9">
        <v>9.2480667863427808</v>
      </c>
      <c r="BB148" s="9">
        <v>9.7573984963118434</v>
      </c>
      <c r="BC148" s="9">
        <v>6.3886135394136634</v>
      </c>
      <c r="BD148" s="9">
        <v>6.1877418811882539</v>
      </c>
    </row>
    <row r="149" spans="3:56" x14ac:dyDescent="0.25">
      <c r="C149" s="111">
        <v>33.917400000000001</v>
      </c>
      <c r="F149" s="111">
        <v>8.5779999999999994</v>
      </c>
      <c r="G149" s="112">
        <v>170</v>
      </c>
      <c r="J149" s="111">
        <v>2252.91</v>
      </c>
      <c r="K149" s="111">
        <v>2193.94</v>
      </c>
      <c r="L149" s="91">
        <v>7.7276533579134554</v>
      </c>
      <c r="M149" s="12">
        <v>840.56765707427576</v>
      </c>
      <c r="N149" s="11">
        <v>38.922486628477877</v>
      </c>
      <c r="O149" s="11">
        <v>2090.1451202520248</v>
      </c>
      <c r="P149" s="11">
        <v>64.872393119497488</v>
      </c>
      <c r="Q149" s="11">
        <v>1.5065897130841874</v>
      </c>
      <c r="R149" s="11">
        <v>0.95621368489467151</v>
      </c>
      <c r="S149" s="13">
        <v>17.760478558538498</v>
      </c>
      <c r="T149" s="14">
        <v>1027.1106229878835</v>
      </c>
      <c r="U149" s="91">
        <v>7.7880589822964836</v>
      </c>
      <c r="V149" s="12">
        <v>725.49413441289562</v>
      </c>
      <c r="W149" s="11">
        <v>38.062737262986516</v>
      </c>
      <c r="X149" s="11">
        <v>2092.0004264142676</v>
      </c>
      <c r="Y149" s="11">
        <v>63.876836322745888</v>
      </c>
      <c r="Z149" s="11">
        <v>1.5336257122748915</v>
      </c>
      <c r="AA149" s="11">
        <v>0.96655931167898268</v>
      </c>
      <c r="AB149" s="13">
        <v>17.982451632771408</v>
      </c>
      <c r="AC149" s="14">
        <v>1026.8170897744212</v>
      </c>
      <c r="AD149" s="15">
        <v>4</v>
      </c>
      <c r="AE149" s="9">
        <v>1.3343720973178348</v>
      </c>
      <c r="AF149" s="9">
        <v>5.997677495498495</v>
      </c>
      <c r="AG149" s="9">
        <v>9.235769879249343</v>
      </c>
      <c r="AH149" s="9">
        <v>13.898646803154898</v>
      </c>
      <c r="AI149" s="9">
        <v>8.7863443572535829</v>
      </c>
      <c r="AJ149" s="9">
        <v>2.4965369620410258</v>
      </c>
      <c r="AK149" s="9">
        <v>0.72082485753544923</v>
      </c>
      <c r="AL149" s="9">
        <v>1.59398685541342</v>
      </c>
      <c r="AM149" s="9">
        <v>6.0941100391117535</v>
      </c>
      <c r="AN149" s="9">
        <v>9.1537362912862115</v>
      </c>
      <c r="AO149" s="9">
        <v>9.6731317919566386</v>
      </c>
      <c r="AP149" s="9">
        <v>6.3673944438595536</v>
      </c>
      <c r="AQ149" s="9">
        <v>6.1699544009219229</v>
      </c>
      <c r="AR149" s="9">
        <v>1.28013388838915</v>
      </c>
      <c r="AS149" s="9">
        <v>6.0479972307262653</v>
      </c>
      <c r="AT149" s="9">
        <v>9.303277352652449</v>
      </c>
      <c r="AU149" s="9">
        <v>14.068193673528539</v>
      </c>
      <c r="AV149" s="9">
        <v>8.8426340246567623</v>
      </c>
      <c r="AW149" s="9">
        <v>2.4681232768704349</v>
      </c>
      <c r="AX149" s="9">
        <v>0.65745309841748045</v>
      </c>
      <c r="AY149" s="9">
        <v>1.5993258557966437</v>
      </c>
      <c r="AZ149" s="9">
        <v>6.1390089051793177</v>
      </c>
      <c r="BA149" s="9">
        <v>9.250785627975846</v>
      </c>
      <c r="BB149" s="9">
        <v>9.7563923801016816</v>
      </c>
      <c r="BC149" s="9">
        <v>6.3818353480981092</v>
      </c>
      <c r="BD149" s="9">
        <v>6.1813444760346821</v>
      </c>
    </row>
    <row r="150" spans="3:56" x14ac:dyDescent="0.25">
      <c r="C150" s="111">
        <v>34.0334</v>
      </c>
      <c r="F150" s="111">
        <v>7.8810000000000002</v>
      </c>
      <c r="G150" s="112">
        <v>231</v>
      </c>
      <c r="J150" s="111">
        <v>2264.89</v>
      </c>
      <c r="K150" s="111">
        <v>2218.88</v>
      </c>
      <c r="L150" s="91">
        <v>7.6909308425359901</v>
      </c>
      <c r="M150" s="12">
        <v>915.23729169913361</v>
      </c>
      <c r="N150" s="11">
        <v>43.369057374875652</v>
      </c>
      <c r="O150" s="11">
        <v>2116.3974872383701</v>
      </c>
      <c r="P150" s="11">
        <v>59.113455386754033</v>
      </c>
      <c r="Q150" s="11">
        <v>1.3558422743048799</v>
      </c>
      <c r="R150" s="11">
        <v>0.8604342672818921</v>
      </c>
      <c r="S150" s="13">
        <v>18.236999215784383</v>
      </c>
      <c r="T150" s="14">
        <v>1027.5866726981794</v>
      </c>
      <c r="U150" s="91">
        <v>7.7429859512824546</v>
      </c>
      <c r="V150" s="12">
        <v>814.46288327584932</v>
      </c>
      <c r="W150" s="11">
        <v>42.701251132267572</v>
      </c>
      <c r="X150" s="11">
        <v>2117.7307061176384</v>
      </c>
      <c r="Y150" s="11">
        <v>58.448042750094046</v>
      </c>
      <c r="Z150" s="11">
        <v>1.4024106604490538</v>
      </c>
      <c r="AA150" s="11">
        <v>0.88405408561790289</v>
      </c>
      <c r="AB150" s="13">
        <v>18.417942096607788</v>
      </c>
      <c r="AC150" s="14">
        <v>1026.9090477863783</v>
      </c>
      <c r="AD150" s="15">
        <v>4</v>
      </c>
      <c r="AE150" s="9">
        <v>1.3243537244327339</v>
      </c>
      <c r="AF150" s="9">
        <v>6.0025135881800606</v>
      </c>
      <c r="AG150" s="9">
        <v>9.2448417336545567</v>
      </c>
      <c r="AH150" s="9">
        <v>13.927118642016669</v>
      </c>
      <c r="AI150" s="9">
        <v>8.7915569158378464</v>
      </c>
      <c r="AJ150" s="9">
        <v>2.4884118440736178</v>
      </c>
      <c r="AK150" s="9">
        <v>0.70442222515236563</v>
      </c>
      <c r="AL150" s="9">
        <v>1.5922241560153789</v>
      </c>
      <c r="AM150" s="9">
        <v>6.0982175442071638</v>
      </c>
      <c r="AN150" s="9">
        <v>9.1687066945905151</v>
      </c>
      <c r="AO150" s="9">
        <v>9.6838419563319036</v>
      </c>
      <c r="AP150" s="9">
        <v>6.360499405124739</v>
      </c>
      <c r="AQ150" s="9">
        <v>6.1630079323963436</v>
      </c>
      <c r="AR150" s="9">
        <v>1.280430697522422</v>
      </c>
      <c r="AS150" s="9">
        <v>6.0475558174453496</v>
      </c>
      <c r="AT150" s="9">
        <v>9.3020867124931339</v>
      </c>
      <c r="AU150" s="9">
        <v>14.067467136150752</v>
      </c>
      <c r="AV150" s="9">
        <v>8.842004290399494</v>
      </c>
      <c r="AW150" s="9">
        <v>2.4671957092562753</v>
      </c>
      <c r="AX150" s="9">
        <v>0.65617043813069664</v>
      </c>
      <c r="AY150" s="9">
        <v>1.5990428218515258</v>
      </c>
      <c r="AZ150" s="9">
        <v>6.1384807568133564</v>
      </c>
      <c r="BA150" s="9">
        <v>9.2515446660082379</v>
      </c>
      <c r="BB150" s="9">
        <v>9.7561354019738769</v>
      </c>
      <c r="BC150" s="9">
        <v>6.3800818122999088</v>
      </c>
      <c r="BD150" s="9">
        <v>6.1796854434683874</v>
      </c>
    </row>
    <row r="151" spans="3:56" x14ac:dyDescent="0.25">
      <c r="C151" s="111">
        <v>34.1036</v>
      </c>
      <c r="F151" s="111">
        <v>7.2080000000000002</v>
      </c>
      <c r="G151" s="112">
        <v>321</v>
      </c>
      <c r="J151" s="111">
        <v>2280.63</v>
      </c>
      <c r="K151" s="111">
        <v>2261.9899999999998</v>
      </c>
      <c r="L151" s="91">
        <v>7.6031985204997321</v>
      </c>
      <c r="M151" s="12">
        <v>1125.9409554169706</v>
      </c>
      <c r="N151" s="11">
        <v>54.582716522471422</v>
      </c>
      <c r="O151" s="11">
        <v>2159.0651600644169</v>
      </c>
      <c r="P151" s="11">
        <v>48.342123413111366</v>
      </c>
      <c r="Q151" s="11">
        <v>1.0890990110476759</v>
      </c>
      <c r="R151" s="11">
        <v>0.69131327420912736</v>
      </c>
      <c r="S151" s="13">
        <v>18.793351161391012</v>
      </c>
      <c r="T151" s="14">
        <v>1028.1520002481232</v>
      </c>
      <c r="U151" s="91">
        <v>7.6483194061170039</v>
      </c>
      <c r="V151" s="12">
        <v>1032.7728844746739</v>
      </c>
      <c r="W151" s="11">
        <v>54.1245761926847</v>
      </c>
      <c r="X151" s="11">
        <v>2159.8505862251545</v>
      </c>
      <c r="Y151" s="11">
        <v>48.014837582160638</v>
      </c>
      <c r="Z151" s="11">
        <v>1.1516388765804635</v>
      </c>
      <c r="AA151" s="11">
        <v>0.72606620721446646</v>
      </c>
      <c r="AB151" s="13">
        <v>18.924822733489638</v>
      </c>
      <c r="AC151" s="14">
        <v>1026.9647001375811</v>
      </c>
      <c r="AD151" s="15">
        <v>4</v>
      </c>
      <c r="AE151" s="9">
        <v>1.3144604703814564</v>
      </c>
      <c r="AF151" s="9">
        <v>6.0059879173013302</v>
      </c>
      <c r="AG151" s="9">
        <v>9.2531385471901668</v>
      </c>
      <c r="AH151" s="9">
        <v>13.953955898384111</v>
      </c>
      <c r="AI151" s="9">
        <v>8.7952020165518316</v>
      </c>
      <c r="AJ151" s="9">
        <v>2.4803062058283118</v>
      </c>
      <c r="AK151" s="9">
        <v>0.68784298012392464</v>
      </c>
      <c r="AL151" s="9">
        <v>1.5898757564165422</v>
      </c>
      <c r="AM151" s="9">
        <v>6.1012037257977791</v>
      </c>
      <c r="AN151" s="9">
        <v>9.1815451281101605</v>
      </c>
      <c r="AO151" s="9">
        <v>9.6927201623135826</v>
      </c>
      <c r="AP151" s="9">
        <v>6.3518233336104908</v>
      </c>
      <c r="AQ151" s="9">
        <v>6.1544308659684095</v>
      </c>
      <c r="AR151" s="9">
        <v>1.2806103182220399</v>
      </c>
      <c r="AS151" s="9">
        <v>6.0472902062300014</v>
      </c>
      <c r="AT151" s="9">
        <v>9.3013676506255827</v>
      </c>
      <c r="AU151" s="9">
        <v>14.067028730383452</v>
      </c>
      <c r="AV151" s="9">
        <v>8.8416243702346105</v>
      </c>
      <c r="AW151" s="9">
        <v>2.4666350989483701</v>
      </c>
      <c r="AX151" s="9">
        <v>0.65539134111599495</v>
      </c>
      <c r="AY151" s="9">
        <v>1.5988726389570282</v>
      </c>
      <c r="AZ151" s="9">
        <v>6.1381639261170067</v>
      </c>
      <c r="BA151" s="9">
        <v>9.2520142936835494</v>
      </c>
      <c r="BB151" s="9">
        <v>9.7559808315565579</v>
      </c>
      <c r="BC151" s="9">
        <v>6.3790225457381782</v>
      </c>
      <c r="BD151" s="9">
        <v>6.1786824527061732</v>
      </c>
    </row>
    <row r="152" spans="3:56" x14ac:dyDescent="0.25">
      <c r="C152" s="111">
        <v>34.205100000000002</v>
      </c>
      <c r="F152" s="111">
        <v>5.7610000000000001</v>
      </c>
      <c r="G152" s="112">
        <v>515</v>
      </c>
      <c r="J152" s="111">
        <v>2310.48</v>
      </c>
      <c r="K152" s="111">
        <v>2313.3000000000002</v>
      </c>
      <c r="L152" s="91">
        <v>7.5421085868534101</v>
      </c>
      <c r="M152" s="12">
        <v>1282.6841614076534</v>
      </c>
      <c r="N152" s="11">
        <v>65.379627386974548</v>
      </c>
      <c r="O152" s="11">
        <v>2206.7770775907829</v>
      </c>
      <c r="P152" s="11">
        <v>41.143295022242548</v>
      </c>
      <c r="Q152" s="11">
        <v>0.89123338589726897</v>
      </c>
      <c r="R152" s="11">
        <v>0.56603990127891668</v>
      </c>
      <c r="S152" s="13">
        <v>18.876246830204586</v>
      </c>
      <c r="T152" s="14">
        <v>1029.3209947471544</v>
      </c>
      <c r="U152" s="91">
        <v>7.5745667096562768</v>
      </c>
      <c r="V152" s="12">
        <v>1249.9290652409002</v>
      </c>
      <c r="W152" s="11">
        <v>65.465929856844213</v>
      </c>
      <c r="X152" s="11">
        <v>2206.3472057963463</v>
      </c>
      <c r="Y152" s="11">
        <v>41.486864346809149</v>
      </c>
      <c r="Z152" s="11">
        <v>0.99451900089466572</v>
      </c>
      <c r="AA152" s="11">
        <v>0.62712359196643519</v>
      </c>
      <c r="AB152" s="13">
        <v>18.852231894305447</v>
      </c>
      <c r="AC152" s="14">
        <v>1027.0451686843053</v>
      </c>
      <c r="AD152" s="15">
        <v>4</v>
      </c>
      <c r="AE152" s="9">
        <v>1.292677290989988</v>
      </c>
      <c r="AF152" s="9">
        <v>6.0137925637928742</v>
      </c>
      <c r="AG152" s="9">
        <v>9.2715679811507137</v>
      </c>
      <c r="AH152" s="9">
        <v>14.012527769077971</v>
      </c>
      <c r="AI152" s="9">
        <v>8.8033138337988674</v>
      </c>
      <c r="AJ152" s="9">
        <v>2.4631766683126237</v>
      </c>
      <c r="AK152" s="9">
        <v>0.65220762090786844</v>
      </c>
      <c r="AL152" s="9">
        <v>1.5849996344052275</v>
      </c>
      <c r="AM152" s="9">
        <v>6.1080631330140189</v>
      </c>
      <c r="AN152" s="9">
        <v>9.2089889498078108</v>
      </c>
      <c r="AO152" s="9">
        <v>9.7121220916546314</v>
      </c>
      <c r="AP152" s="9">
        <v>6.3334834311499435</v>
      </c>
      <c r="AQ152" s="9">
        <v>6.1363390307502161</v>
      </c>
      <c r="AR152" s="9">
        <v>1.2808700262136525</v>
      </c>
      <c r="AS152" s="9">
        <v>6.0469081934773108</v>
      </c>
      <c r="AT152" s="9">
        <v>9.3003299553737406</v>
      </c>
      <c r="AU152" s="9">
        <v>14.066396545343936</v>
      </c>
      <c r="AV152" s="9">
        <v>8.8410766217519203</v>
      </c>
      <c r="AW152" s="9">
        <v>2.4658254963071506</v>
      </c>
      <c r="AX152" s="9">
        <v>0.65426100816515165</v>
      </c>
      <c r="AY152" s="9">
        <v>1.5986280391296195</v>
      </c>
      <c r="AZ152" s="9">
        <v>6.1377095347778319</v>
      </c>
      <c r="BA152" s="9">
        <v>9.2527069604599017</v>
      </c>
      <c r="BB152" s="9">
        <v>9.7557585983539958</v>
      </c>
      <c r="BC152" s="9">
        <v>6.3774935277793414</v>
      </c>
      <c r="BD152" s="9">
        <v>6.177233581725611</v>
      </c>
    </row>
    <row r="153" spans="3:56" x14ac:dyDescent="0.25">
      <c r="C153" s="111">
        <v>33.068800000000003</v>
      </c>
      <c r="F153" s="111">
        <v>15.471</v>
      </c>
      <c r="G153" s="112">
        <v>2</v>
      </c>
      <c r="J153" s="111">
        <v>2214.12</v>
      </c>
      <c r="K153" s="111">
        <v>2004.21</v>
      </c>
      <c r="L153" s="91">
        <v>8.0479699439065957</v>
      </c>
      <c r="M153" s="12">
        <v>378.6032286516276</v>
      </c>
      <c r="N153" s="11">
        <v>14.133592717165572</v>
      </c>
      <c r="O153" s="11">
        <v>1838.624526526643</v>
      </c>
      <c r="P153" s="11">
        <v>151.45188075619129</v>
      </c>
      <c r="Q153" s="11">
        <v>3.6562341954658621</v>
      </c>
      <c r="R153" s="11">
        <v>2.3422283969256994</v>
      </c>
      <c r="S153" s="13">
        <v>11.570251804049041</v>
      </c>
      <c r="T153" s="14">
        <v>1024.3902358675659</v>
      </c>
      <c r="U153" s="91">
        <v>8.2138683491693172</v>
      </c>
      <c r="V153" s="12">
        <v>240.58803308667868</v>
      </c>
      <c r="W153" s="11">
        <v>12.685612629563959</v>
      </c>
      <c r="X153" s="11">
        <v>1844.4130105092654</v>
      </c>
      <c r="Y153" s="11">
        <v>147.11137686117041</v>
      </c>
      <c r="Z153" s="11">
        <v>3.5478953871898824</v>
      </c>
      <c r="AA153" s="11">
        <v>2.2321912430811537</v>
      </c>
      <c r="AB153" s="13">
        <v>11.743635087883284</v>
      </c>
      <c r="AC153" s="14">
        <v>1026.1444868652045</v>
      </c>
      <c r="AD153" s="15">
        <v>4</v>
      </c>
      <c r="AE153" s="9">
        <v>1.4279317409732117</v>
      </c>
      <c r="AF153" s="9">
        <v>5.9337294670157279</v>
      </c>
      <c r="AG153" s="9">
        <v>9.1321883221952671</v>
      </c>
      <c r="AH153" s="9">
        <v>13.610524325542222</v>
      </c>
      <c r="AI153" s="9">
        <v>8.7127923300407044</v>
      </c>
      <c r="AJ153" s="9">
        <v>2.5649962100295514</v>
      </c>
      <c r="AK153" s="9">
        <v>0.85823036987010004</v>
      </c>
      <c r="AL153" s="9">
        <v>1.6023195473796263</v>
      </c>
      <c r="AM153" s="9">
        <v>6.0403262356397125</v>
      </c>
      <c r="AN153" s="9">
        <v>8.9931962139665647</v>
      </c>
      <c r="AO153" s="9">
        <v>9.549650146293823</v>
      </c>
      <c r="AP153" s="9">
        <v>6.3952228182746653</v>
      </c>
      <c r="AQ153" s="9">
        <v>6.2018180541493457</v>
      </c>
      <c r="AR153" s="9">
        <v>1.2779625760573001</v>
      </c>
      <c r="AS153" s="9">
        <v>6.0513216176528717</v>
      </c>
      <c r="AT153" s="9">
        <v>9.3120802660470154</v>
      </c>
      <c r="AU153" s="9">
        <v>14.073589725780778</v>
      </c>
      <c r="AV153" s="9">
        <v>8.8473152696875204</v>
      </c>
      <c r="AW153" s="9">
        <v>2.4749552402145909</v>
      </c>
      <c r="AX153" s="9">
        <v>0.66666360386917167</v>
      </c>
      <c r="AY153" s="9">
        <v>1.6014664387477817</v>
      </c>
      <c r="AZ153" s="9">
        <v>6.1430500142896962</v>
      </c>
      <c r="BA153" s="9">
        <v>9.2458865250990367</v>
      </c>
      <c r="BB153" s="9">
        <v>9.7583324691453317</v>
      </c>
      <c r="BC153" s="9">
        <v>6.3947880285809955</v>
      </c>
      <c r="BD153" s="9">
        <v>6.1935486228446095</v>
      </c>
    </row>
    <row r="154" spans="3:56" x14ac:dyDescent="0.25">
      <c r="C154" s="111">
        <v>33.074399999999997</v>
      </c>
      <c r="F154" s="111">
        <v>15.422000000000001</v>
      </c>
      <c r="G154" s="112">
        <v>25</v>
      </c>
      <c r="J154" s="111">
        <v>2214.48</v>
      </c>
      <c r="K154" s="111">
        <v>2003.61</v>
      </c>
      <c r="L154" s="91">
        <v>8.0498388488116071</v>
      </c>
      <c r="M154" s="12">
        <v>375.78350536092097</v>
      </c>
      <c r="N154" s="11">
        <v>14.048603475819675</v>
      </c>
      <c r="O154" s="11">
        <v>1837.5746309425529</v>
      </c>
      <c r="P154" s="11">
        <v>151.9867655816274</v>
      </c>
      <c r="Q154" s="11">
        <v>3.6546423073821224</v>
      </c>
      <c r="R154" s="11">
        <v>2.3416137909107904</v>
      </c>
      <c r="S154" s="13">
        <v>11.545137238362136</v>
      </c>
      <c r="T154" s="14">
        <v>1024.507515588806</v>
      </c>
      <c r="U154" s="91">
        <v>8.2158376230874293</v>
      </c>
      <c r="V154" s="12">
        <v>239.34808442232506</v>
      </c>
      <c r="W154" s="11">
        <v>12.619816826078599</v>
      </c>
      <c r="X154" s="11">
        <v>1843.2809894196678</v>
      </c>
      <c r="Y154" s="11">
        <v>147.70919375425345</v>
      </c>
      <c r="Z154" s="11">
        <v>3.5622089841533398</v>
      </c>
      <c r="AA154" s="11">
        <v>2.2412239658357782</v>
      </c>
      <c r="AB154" s="13">
        <v>11.715733073085005</v>
      </c>
      <c r="AC154" s="14">
        <v>1026.1489247719678</v>
      </c>
      <c r="AD154" s="15">
        <v>4</v>
      </c>
      <c r="AE154" s="9">
        <v>1.4273045586229007</v>
      </c>
      <c r="AF154" s="9">
        <v>5.9332270169756027</v>
      </c>
      <c r="AG154" s="9">
        <v>9.1322780623768285</v>
      </c>
      <c r="AH154" s="9">
        <v>13.611772610421276</v>
      </c>
      <c r="AI154" s="9">
        <v>8.7122136383721429</v>
      </c>
      <c r="AJ154" s="9">
        <v>2.5641224635202438</v>
      </c>
      <c r="AK154" s="9">
        <v>0.85662239635440329</v>
      </c>
      <c r="AL154" s="9">
        <v>1.6017435314690194</v>
      </c>
      <c r="AM154" s="9">
        <v>6.0398439278358271</v>
      </c>
      <c r="AN154" s="9">
        <v>8.9933439293747277</v>
      </c>
      <c r="AO154" s="9">
        <v>9.5494021973348957</v>
      </c>
      <c r="AP154" s="9">
        <v>6.3934290486280085</v>
      </c>
      <c r="AQ154" s="9">
        <v>6.200099438379473</v>
      </c>
      <c r="AR154" s="9">
        <v>1.2779769047740788</v>
      </c>
      <c r="AS154" s="9">
        <v>6.0512991303128061</v>
      </c>
      <c r="AT154" s="9">
        <v>9.3120216395011877</v>
      </c>
      <c r="AU154" s="9">
        <v>14.073553642473025</v>
      </c>
      <c r="AV154" s="9">
        <v>8.8472839448474669</v>
      </c>
      <c r="AW154" s="9">
        <v>2.4749098841938157</v>
      </c>
      <c r="AX154" s="9">
        <v>0.66660378333230819</v>
      </c>
      <c r="AY154" s="9">
        <v>1.6014519030465626</v>
      </c>
      <c r="AZ154" s="9">
        <v>6.1430223085743485</v>
      </c>
      <c r="BA154" s="9">
        <v>9.2459150307542224</v>
      </c>
      <c r="BB154" s="9">
        <v>9.7583193142054849</v>
      </c>
      <c r="BC154" s="9">
        <v>6.3947018110942588</v>
      </c>
      <c r="BD154" s="9">
        <v>6.1934676742746904</v>
      </c>
    </row>
    <row r="155" spans="3:56" x14ac:dyDescent="0.25">
      <c r="C155" s="111">
        <v>33.075000000000003</v>
      </c>
      <c r="F155" s="111">
        <v>15.314</v>
      </c>
      <c r="G155" s="112">
        <v>50</v>
      </c>
      <c r="J155" s="111">
        <v>2219.2199999999998</v>
      </c>
      <c r="K155" s="111">
        <v>2004.07</v>
      </c>
      <c r="L155" s="91">
        <v>8.0590558160714583</v>
      </c>
      <c r="M155" s="12">
        <v>366.33833925595962</v>
      </c>
      <c r="N155" s="11">
        <v>13.74012115799996</v>
      </c>
      <c r="O155" s="11">
        <v>1835.6298974504059</v>
      </c>
      <c r="P155" s="11">
        <v>154.69998139159381</v>
      </c>
      <c r="Q155" s="11">
        <v>3.7038447854631786</v>
      </c>
      <c r="R155" s="11">
        <v>2.3732749098170829</v>
      </c>
      <c r="S155" s="13">
        <v>11.442078940477309</v>
      </c>
      <c r="T155" s="14">
        <v>1024.6427804640955</v>
      </c>
      <c r="U155" s="91">
        <v>8.2244373588456607</v>
      </c>
      <c r="V155" s="12">
        <v>234.39174414899648</v>
      </c>
      <c r="W155" s="11">
        <v>12.358446183005249</v>
      </c>
      <c r="X155" s="11">
        <v>1841.2150161968677</v>
      </c>
      <c r="Y155" s="11">
        <v>150.49653762012662</v>
      </c>
      <c r="Z155" s="11">
        <v>3.629418235553687</v>
      </c>
      <c r="AA155" s="11">
        <v>2.2835127687614651</v>
      </c>
      <c r="AB155" s="13">
        <v>11.604802699262171</v>
      </c>
      <c r="AC155" s="14">
        <v>1026.1494002625009</v>
      </c>
      <c r="AD155" s="15">
        <v>4</v>
      </c>
      <c r="AE155" s="9">
        <v>1.425891809997192</v>
      </c>
      <c r="AF155" s="9">
        <v>5.9332612557814217</v>
      </c>
      <c r="AG155" s="9">
        <v>9.1333506771757875</v>
      </c>
      <c r="AH155" s="9">
        <v>13.615478532372466</v>
      </c>
      <c r="AI155" s="9">
        <v>8.7122890334845611</v>
      </c>
      <c r="AJ155" s="9">
        <v>2.5627631636735675</v>
      </c>
      <c r="AK155" s="9">
        <v>0.85397585043258761</v>
      </c>
      <c r="AL155" s="9">
        <v>1.6011019747523911</v>
      </c>
      <c r="AM155" s="9">
        <v>6.0398268031849494</v>
      </c>
      <c r="AN155" s="9">
        <v>8.9947628577397474</v>
      </c>
      <c r="AO155" s="9">
        <v>9.5501687509571997</v>
      </c>
      <c r="AP155" s="9">
        <v>6.3915445828995994</v>
      </c>
      <c r="AQ155" s="9">
        <v>6.1982398521059601</v>
      </c>
      <c r="AR155" s="9">
        <v>1.2779784399937337</v>
      </c>
      <c r="AS155" s="9">
        <v>6.0512967213879882</v>
      </c>
      <c r="AT155" s="9">
        <v>9.3120153585074501</v>
      </c>
      <c r="AU155" s="9">
        <v>14.073549776782748</v>
      </c>
      <c r="AV155" s="9">
        <v>8.8472805889581814</v>
      </c>
      <c r="AW155" s="9">
        <v>2.4749050248366768</v>
      </c>
      <c r="AX155" s="9">
        <v>0.66659737325742796</v>
      </c>
      <c r="AY155" s="9">
        <v>1.6014503459770033</v>
      </c>
      <c r="AZ155" s="9">
        <v>6.1430193409331881</v>
      </c>
      <c r="BA155" s="9">
        <v>9.2459180879831635</v>
      </c>
      <c r="BB155" s="9">
        <v>9.7583179050287008</v>
      </c>
      <c r="BC155" s="9">
        <v>6.3946925741064735</v>
      </c>
      <c r="BD155" s="9">
        <v>6.19345900155467</v>
      </c>
    </row>
    <row r="156" spans="3:56" x14ac:dyDescent="0.25">
      <c r="C156" s="111">
        <v>33.007300000000001</v>
      </c>
      <c r="F156" s="111">
        <v>11.05</v>
      </c>
      <c r="G156" s="112">
        <v>100</v>
      </c>
      <c r="J156" s="111">
        <v>2205.44</v>
      </c>
      <c r="K156" s="111">
        <v>2063.6799999999998</v>
      </c>
      <c r="L156" s="91">
        <v>7.9526784397465242</v>
      </c>
      <c r="M156" s="12">
        <v>476.75116547552</v>
      </c>
      <c r="N156" s="11">
        <v>20.444652129585137</v>
      </c>
      <c r="O156" s="11">
        <v>1934.9500658437676</v>
      </c>
      <c r="P156" s="11">
        <v>108.285282026647</v>
      </c>
      <c r="Q156" s="11">
        <v>2.5637318624751293</v>
      </c>
      <c r="R156" s="11">
        <v>1.6295897333583438</v>
      </c>
      <c r="S156" s="13">
        <v>14.041711928472951</v>
      </c>
      <c r="T156" s="14">
        <v>1025.6670187918526</v>
      </c>
      <c r="U156" s="91">
        <v>8.0513820548388662</v>
      </c>
      <c r="V156" s="12">
        <v>367.59628038411165</v>
      </c>
      <c r="W156" s="11">
        <v>19.389467951816322</v>
      </c>
      <c r="X156" s="11">
        <v>1938.1120858953393</v>
      </c>
      <c r="Y156" s="11">
        <v>106.17844615284396</v>
      </c>
      <c r="Z156" s="11">
        <v>2.5615332396308341</v>
      </c>
      <c r="AA156" s="11">
        <v>1.6113965845828362</v>
      </c>
      <c r="AB156" s="13">
        <v>14.216690992642276</v>
      </c>
      <c r="AC156" s="14">
        <v>1026.0957497184422</v>
      </c>
      <c r="AD156" s="15">
        <v>4</v>
      </c>
      <c r="AE156" s="9">
        <v>1.367712038070747</v>
      </c>
      <c r="AF156" s="9">
        <v>5.9765884031714069</v>
      </c>
      <c r="AG156" s="9">
        <v>9.2047787696743217</v>
      </c>
      <c r="AH156" s="9">
        <v>13.797593222824343</v>
      </c>
      <c r="AI156" s="9">
        <v>8.7633855277213346</v>
      </c>
      <c r="AJ156" s="9">
        <v>2.5264750109764926</v>
      </c>
      <c r="AK156" s="9">
        <v>0.77757870900331871</v>
      </c>
      <c r="AL156" s="9">
        <v>1.5984187431238761</v>
      </c>
      <c r="AM156" s="9">
        <v>6.0771919990581651</v>
      </c>
      <c r="AN156" s="9">
        <v>9.0929066069229911</v>
      </c>
      <c r="AO156" s="9">
        <v>9.6295533652794276</v>
      </c>
      <c r="AP156" s="9">
        <v>6.3875750869791981</v>
      </c>
      <c r="AQ156" s="9">
        <v>6.1907807659617946</v>
      </c>
      <c r="AR156" s="9">
        <v>1.2778052160426778</v>
      </c>
      <c r="AS156" s="9">
        <v>6.0515690572310197</v>
      </c>
      <c r="AT156" s="9">
        <v>9.3127245791656126</v>
      </c>
      <c r="AU156" s="9">
        <v>14.073986418027962</v>
      </c>
      <c r="AV156" s="9">
        <v>8.8476596650168773</v>
      </c>
      <c r="AW156" s="9">
        <v>2.4754535869540324</v>
      </c>
      <c r="AX156" s="9">
        <v>0.66731975220240303</v>
      </c>
      <c r="AY156" s="9">
        <v>1.6016264350120752</v>
      </c>
      <c r="AZ156" s="9">
        <v>6.1433552022464095</v>
      </c>
      <c r="BA156" s="9">
        <v>9.2455768605777777</v>
      </c>
      <c r="BB156" s="9">
        <v>9.7584772506868962</v>
      </c>
      <c r="BC156" s="9">
        <v>6.3957355484547893</v>
      </c>
      <c r="BD156" s="9">
        <v>6.1944379914064776</v>
      </c>
    </row>
    <row r="157" spans="3:56" x14ac:dyDescent="0.25">
      <c r="C157" s="111">
        <v>33.662399999999998</v>
      </c>
      <c r="F157" s="111">
        <v>9.0009999999999994</v>
      </c>
      <c r="G157" s="112">
        <v>171</v>
      </c>
      <c r="J157" s="111">
        <v>2235.8200000000002</v>
      </c>
      <c r="K157" s="111">
        <v>2163.9</v>
      </c>
      <c r="L157" s="91">
        <v>7.7668521173634701</v>
      </c>
      <c r="M157" s="12">
        <v>759.2877708991615</v>
      </c>
      <c r="N157" s="11">
        <v>34.711714368092174</v>
      </c>
      <c r="O157" s="11">
        <v>2058.5006590401645</v>
      </c>
      <c r="P157" s="11">
        <v>70.687626591743225</v>
      </c>
      <c r="Q157" s="11">
        <v>1.644009702273306</v>
      </c>
      <c r="R157" s="11">
        <v>1.0436346969966528</v>
      </c>
      <c r="S157" s="13">
        <v>17.235164760472166</v>
      </c>
      <c r="T157" s="14">
        <v>1026.8482645793381</v>
      </c>
      <c r="U157" s="91">
        <v>7.8341632917790918</v>
      </c>
      <c r="V157" s="12">
        <v>643.10741536678086</v>
      </c>
      <c r="W157" s="11">
        <v>33.791081921413287</v>
      </c>
      <c r="X157" s="11">
        <v>2060.5673190701841</v>
      </c>
      <c r="Y157" s="11">
        <v>69.541599008402542</v>
      </c>
      <c r="Z157" s="11">
        <v>1.6719068068983651</v>
      </c>
      <c r="AA157" s="11">
        <v>1.0531902563310982</v>
      </c>
      <c r="AB157" s="13">
        <v>17.460350082280129</v>
      </c>
      <c r="AC157" s="14">
        <v>1026.6149543723454</v>
      </c>
      <c r="AD157" s="15">
        <v>4</v>
      </c>
      <c r="AE157" s="9">
        <v>1.3399303417188888</v>
      </c>
      <c r="AF157" s="9">
        <v>5.9937771704497722</v>
      </c>
      <c r="AG157" s="9">
        <v>9.2310597277072741</v>
      </c>
      <c r="AH157" s="9">
        <v>13.88134759454173</v>
      </c>
      <c r="AI157" s="9">
        <v>8.782233063767837</v>
      </c>
      <c r="AJ157" s="9">
        <v>2.5022393044144753</v>
      </c>
      <c r="AK157" s="9">
        <v>0.73129571697497942</v>
      </c>
      <c r="AL157" s="9">
        <v>1.5946278658808795</v>
      </c>
      <c r="AM157" s="9">
        <v>6.0910508912509309</v>
      </c>
      <c r="AN157" s="9">
        <v>9.141982381797261</v>
      </c>
      <c r="AO157" s="9">
        <v>9.6651166667895154</v>
      </c>
      <c r="AP157" s="9">
        <v>6.3712978184488502</v>
      </c>
      <c r="AQ157" s="9">
        <v>6.1739419515634131</v>
      </c>
      <c r="AR157" s="9">
        <v>1.2794814200358364</v>
      </c>
      <c r="AS157" s="9">
        <v>6.0489785814348185</v>
      </c>
      <c r="AT157" s="9">
        <v>9.3059054269080015</v>
      </c>
      <c r="AU157" s="9">
        <v>14.069800088510984</v>
      </c>
      <c r="AV157" s="9">
        <v>8.8440269098948807</v>
      </c>
      <c r="AW157" s="9">
        <v>2.4701676313874583</v>
      </c>
      <c r="AX157" s="9">
        <v>0.66025232088072672</v>
      </c>
      <c r="AY157" s="9">
        <v>1.5999560663635968</v>
      </c>
      <c r="AZ157" s="9">
        <v>6.1401902467355116</v>
      </c>
      <c r="BA157" s="9">
        <v>9.2491919328864132</v>
      </c>
      <c r="BB157" s="9">
        <v>9.7569641791190982</v>
      </c>
      <c r="BC157" s="9">
        <v>6.3857042357444636</v>
      </c>
      <c r="BD157" s="9">
        <v>6.1849990023497448</v>
      </c>
    </row>
    <row r="158" spans="3:56" x14ac:dyDescent="0.25">
      <c r="C158" s="111">
        <v>33.972999999999999</v>
      </c>
      <c r="F158" s="111">
        <v>8.516</v>
      </c>
      <c r="G158" s="112">
        <v>231</v>
      </c>
      <c r="J158" s="111">
        <v>2258.02</v>
      </c>
      <c r="K158" s="111">
        <v>2208.0100000000002</v>
      </c>
      <c r="L158" s="91">
        <v>7.6957947147780539</v>
      </c>
      <c r="M158" s="12">
        <v>904.70576674201186</v>
      </c>
      <c r="N158" s="11">
        <v>41.966965998209453</v>
      </c>
      <c r="O158" s="11">
        <v>2105.1432861021599</v>
      </c>
      <c r="P158" s="11">
        <v>60.899747899630761</v>
      </c>
      <c r="Q158" s="11">
        <v>1.3977103781055968</v>
      </c>
      <c r="R158" s="11">
        <v>0.8877626545246774</v>
      </c>
      <c r="S158" s="13">
        <v>18.068646612543873</v>
      </c>
      <c r="T158" s="14">
        <v>1027.4409877019577</v>
      </c>
      <c r="U158" s="91">
        <v>7.7572976430418317</v>
      </c>
      <c r="V158" s="12">
        <v>784.15512821608525</v>
      </c>
      <c r="W158" s="11">
        <v>41.126886719503403</v>
      </c>
      <c r="X158" s="11">
        <v>2106.8722922319139</v>
      </c>
      <c r="Y158" s="11">
        <v>60.010821048582763</v>
      </c>
      <c r="Z158" s="11">
        <v>1.440376121021343</v>
      </c>
      <c r="AA158" s="11">
        <v>0.90788443859368773</v>
      </c>
      <c r="AB158" s="13">
        <v>18.293066750838101</v>
      </c>
      <c r="AC158" s="14">
        <v>1026.8611657136448</v>
      </c>
      <c r="AD158" s="15">
        <v>4</v>
      </c>
      <c r="AE158" s="9">
        <v>1.3335997855623647</v>
      </c>
      <c r="AF158" s="9">
        <v>5.9954206264714927</v>
      </c>
      <c r="AG158" s="9">
        <v>9.2344608812788014</v>
      </c>
      <c r="AH158" s="9">
        <v>13.898908175488343</v>
      </c>
      <c r="AI158" s="9">
        <v>8.7836488232331416</v>
      </c>
      <c r="AJ158" s="9">
        <v>2.4944375097872977</v>
      </c>
      <c r="AK158" s="9">
        <v>0.71710717905464194</v>
      </c>
      <c r="AL158" s="9">
        <v>1.5923225855920662</v>
      </c>
      <c r="AM158" s="9">
        <v>6.092014002867109</v>
      </c>
      <c r="AN158" s="9">
        <v>9.1527432241472884</v>
      </c>
      <c r="AO158" s="9">
        <v>9.6710689979762812</v>
      </c>
      <c r="AP158" s="9">
        <v>6.361549714411507</v>
      </c>
      <c r="AQ158" s="9">
        <v>6.1644293961875531</v>
      </c>
      <c r="AR158" s="9">
        <v>1.2802761520771662</v>
      </c>
      <c r="AS158" s="9">
        <v>6.0477852662583107</v>
      </c>
      <c r="AT158" s="9">
        <v>9.3027062860657708</v>
      </c>
      <c r="AU158" s="9">
        <v>14.06784510854744</v>
      </c>
      <c r="AV158" s="9">
        <v>8.8423318836199343</v>
      </c>
      <c r="AW158" s="9">
        <v>2.4676784967003349</v>
      </c>
      <c r="AX158" s="9">
        <v>0.65683903907453478</v>
      </c>
      <c r="AY158" s="9">
        <v>1.5991899111748098</v>
      </c>
      <c r="AZ158" s="9">
        <v>6.1387550399927155</v>
      </c>
      <c r="BA158" s="9">
        <v>9.2511467968729946</v>
      </c>
      <c r="BB158" s="9">
        <v>9.7562689643909177</v>
      </c>
      <c r="BC158" s="9">
        <v>6.3809943636093864</v>
      </c>
      <c r="BD158" s="9">
        <v>6.1805490229389921</v>
      </c>
    </row>
    <row r="159" spans="3:56" x14ac:dyDescent="0.25">
      <c r="C159" s="111">
        <v>34.047199999999997</v>
      </c>
      <c r="F159" s="111">
        <v>7.3079999999999998</v>
      </c>
      <c r="G159" s="112">
        <v>320</v>
      </c>
      <c r="J159" s="111">
        <v>2273.0300000000002</v>
      </c>
      <c r="K159" s="111">
        <v>2242.88</v>
      </c>
      <c r="L159" s="91">
        <v>7.6417164539485665</v>
      </c>
      <c r="M159" s="12">
        <v>1022.7892023454608</v>
      </c>
      <c r="N159" s="11">
        <v>49.427073196192389</v>
      </c>
      <c r="O159" s="11">
        <v>2140.9343029964793</v>
      </c>
      <c r="P159" s="11">
        <v>52.518623807328474</v>
      </c>
      <c r="Q159" s="11">
        <v>1.1838686200658664</v>
      </c>
      <c r="R159" s="11">
        <v>0.75148977093943725</v>
      </c>
      <c r="S159" s="13">
        <v>18.65884505059477</v>
      </c>
      <c r="T159" s="14">
        <v>1028.0884868752485</v>
      </c>
      <c r="U159" s="91">
        <v>7.6885269087269368</v>
      </c>
      <c r="V159" s="12">
        <v>933.7166885628219</v>
      </c>
      <c r="W159" s="11">
        <v>48.949596203731026</v>
      </c>
      <c r="X159" s="11">
        <v>2141.7684142274879</v>
      </c>
      <c r="Y159" s="11">
        <v>52.161989568781152</v>
      </c>
      <c r="Z159" s="11">
        <v>1.2514891753928248</v>
      </c>
      <c r="AA159" s="11">
        <v>0.78893613110055738</v>
      </c>
      <c r="AB159" s="13">
        <v>18.794035129179072</v>
      </c>
      <c r="AC159" s="14">
        <v>1026.91998787892</v>
      </c>
      <c r="AD159" s="15">
        <v>4</v>
      </c>
      <c r="AE159" s="9">
        <v>1.3158212398493419</v>
      </c>
      <c r="AF159" s="9">
        <v>6.0050780079227088</v>
      </c>
      <c r="AG159" s="9">
        <v>9.2520064572693137</v>
      </c>
      <c r="AH159" s="9">
        <v>13.949812411322135</v>
      </c>
      <c r="AI159" s="9">
        <v>8.7942570594577099</v>
      </c>
      <c r="AJ159" s="9">
        <v>2.4816538037672942</v>
      </c>
      <c r="AK159" s="9">
        <v>0.69039317078947693</v>
      </c>
      <c r="AL159" s="9">
        <v>1.5900280489846925</v>
      </c>
      <c r="AM159" s="9">
        <v>6.1004677334033328</v>
      </c>
      <c r="AN159" s="9">
        <v>9.1787723826384795</v>
      </c>
      <c r="AO159" s="9">
        <v>9.6908459370733659</v>
      </c>
      <c r="AP159" s="9">
        <v>6.3527906884740117</v>
      </c>
      <c r="AQ159" s="9">
        <v>6.1554102527577665</v>
      </c>
      <c r="AR159" s="9">
        <v>1.2804660075744836</v>
      </c>
      <c r="AS159" s="9">
        <v>6.0475035127761609</v>
      </c>
      <c r="AT159" s="9">
        <v>9.3019452702871011</v>
      </c>
      <c r="AU159" s="9">
        <v>14.067380878069097</v>
      </c>
      <c r="AV159" s="9">
        <v>8.8419295351946641</v>
      </c>
      <c r="AW159" s="9">
        <v>2.4670854605474548</v>
      </c>
      <c r="AX159" s="9">
        <v>0.65601745377394038</v>
      </c>
      <c r="AY159" s="9">
        <v>1.599009301634813</v>
      </c>
      <c r="AZ159" s="9">
        <v>6.1384183080362327</v>
      </c>
      <c r="BA159" s="9">
        <v>9.2516363751001602</v>
      </c>
      <c r="BB159" s="9">
        <v>9.7561049601379199</v>
      </c>
      <c r="BC159" s="9">
        <v>6.379873466273704</v>
      </c>
      <c r="BD159" s="9">
        <v>6.1794882146980319</v>
      </c>
    </row>
    <row r="160" spans="3:56" x14ac:dyDescent="0.25">
      <c r="C160" s="111">
        <v>34.203699999999998</v>
      </c>
      <c r="F160" s="111">
        <v>5.6719999999999997</v>
      </c>
      <c r="G160" s="112">
        <v>515</v>
      </c>
      <c r="J160" s="111">
        <v>2310.86</v>
      </c>
      <c r="K160" s="111">
        <v>2313.96</v>
      </c>
      <c r="L160" s="91">
        <v>7.5424335190287648</v>
      </c>
      <c r="M160" s="12">
        <v>1281.1807859338523</v>
      </c>
      <c r="N160" s="11">
        <v>65.510338210417672</v>
      </c>
      <c r="O160" s="11">
        <v>2207.412588561353</v>
      </c>
      <c r="P160" s="11">
        <v>41.037073228229175</v>
      </c>
      <c r="Q160" s="11">
        <v>0.88885694674579541</v>
      </c>
      <c r="R160" s="11">
        <v>0.56446552331484212</v>
      </c>
      <c r="S160" s="13">
        <v>18.88049826712551</v>
      </c>
      <c r="T160" s="14">
        <v>1029.3318885302115</v>
      </c>
      <c r="U160" s="91">
        <v>7.5736432332033807</v>
      </c>
      <c r="V160" s="12">
        <v>1252.9244742521535</v>
      </c>
      <c r="W160" s="11">
        <v>65.623357825898637</v>
      </c>
      <c r="X160" s="11">
        <v>2206.9283598025586</v>
      </c>
      <c r="Y160" s="11">
        <v>41.408282371542491</v>
      </c>
      <c r="Z160" s="11">
        <v>0.99264276981371058</v>
      </c>
      <c r="AA160" s="11">
        <v>0.62593889939746294</v>
      </c>
      <c r="AB160" s="13">
        <v>18.848896819739721</v>
      </c>
      <c r="AC160" s="14">
        <v>1027.044058752849</v>
      </c>
      <c r="AD160" s="15">
        <v>4</v>
      </c>
      <c r="AE160" s="9">
        <v>1.2913005752880506</v>
      </c>
      <c r="AF160" s="9">
        <v>6.0148598456581537</v>
      </c>
      <c r="AG160" s="9">
        <v>9.2731406547262996</v>
      </c>
      <c r="AH160" s="9">
        <v>14.016632555864255</v>
      </c>
      <c r="AI160" s="9">
        <v>8.8044923348655271</v>
      </c>
      <c r="AJ160" s="9">
        <v>2.4623962611692711</v>
      </c>
      <c r="AK160" s="9">
        <v>0.65047013508014884</v>
      </c>
      <c r="AL160" s="9">
        <v>1.5850273569069873</v>
      </c>
      <c r="AM160" s="9">
        <v>6.1090204434396371</v>
      </c>
      <c r="AN160" s="9">
        <v>9.2111984941138338</v>
      </c>
      <c r="AO160" s="9">
        <v>9.7139792339712479</v>
      </c>
      <c r="AP160" s="9">
        <v>6.3334643216187478</v>
      </c>
      <c r="AQ160" s="9">
        <v>6.1362698717127779</v>
      </c>
      <c r="AR160" s="9">
        <v>1.2808664440344579</v>
      </c>
      <c r="AS160" s="9">
        <v>6.0469134463260721</v>
      </c>
      <c r="AT160" s="9">
        <v>9.3003442525394622</v>
      </c>
      <c r="AU160" s="9">
        <v>14.066405251563658</v>
      </c>
      <c r="AV160" s="9">
        <v>8.8410841643265421</v>
      </c>
      <c r="AW160" s="9">
        <v>2.4658366554892606</v>
      </c>
      <c r="AX160" s="9">
        <v>0.65427663019552817</v>
      </c>
      <c r="AY160" s="9">
        <v>1.5986314011905856</v>
      </c>
      <c r="AZ160" s="9">
        <v>6.137715772531247</v>
      </c>
      <c r="BA160" s="9">
        <v>9.2526972969717356</v>
      </c>
      <c r="BB160" s="9">
        <v>9.7557616535706391</v>
      </c>
      <c r="BC160" s="9">
        <v>6.3775145973484753</v>
      </c>
      <c r="BD160" s="9">
        <v>6.1772535556358887</v>
      </c>
    </row>
    <row r="161" spans="3:56" x14ac:dyDescent="0.25">
      <c r="C161" s="111">
        <v>33.077800000000003</v>
      </c>
      <c r="F161" s="111">
        <v>15.803000000000001</v>
      </c>
      <c r="G161" s="112">
        <v>3</v>
      </c>
      <c r="J161" s="111">
        <v>2215.1999999999998</v>
      </c>
      <c r="K161" s="111">
        <v>2001.91</v>
      </c>
      <c r="L161" s="91">
        <v>8.0497611679396854</v>
      </c>
      <c r="M161" s="12">
        <v>376.92624475192031</v>
      </c>
      <c r="N161" s="11">
        <v>13.930796879643758</v>
      </c>
      <c r="O161" s="11">
        <v>1834.264325526392</v>
      </c>
      <c r="P161" s="11">
        <v>153.71487759396419</v>
      </c>
      <c r="Q161" s="11">
        <v>3.7109385763557516</v>
      </c>
      <c r="R161" s="11">
        <v>2.3790899111946877</v>
      </c>
      <c r="S161" s="13">
        <v>11.47101984080151</v>
      </c>
      <c r="T161" s="14">
        <v>1024.3278558504401</v>
      </c>
      <c r="U161" s="91">
        <v>8.2209449195327799</v>
      </c>
      <c r="V161" s="12">
        <v>236.1564861941599</v>
      </c>
      <c r="W161" s="11">
        <v>12.451287867565986</v>
      </c>
      <c r="X161" s="11">
        <v>1840.2368058073907</v>
      </c>
      <c r="Y161" s="11">
        <v>149.22190632504325</v>
      </c>
      <c r="Z161" s="11">
        <v>3.598626319869735</v>
      </c>
      <c r="AA161" s="11">
        <v>2.2641532143087737</v>
      </c>
      <c r="AB161" s="13">
        <v>11.645971952086093</v>
      </c>
      <c r="AC161" s="14">
        <v>1026.1516192196591</v>
      </c>
      <c r="AD161" s="15">
        <v>4</v>
      </c>
      <c r="AE161" s="9">
        <v>1.4322804177444364</v>
      </c>
      <c r="AF161" s="9">
        <v>5.9302752083236889</v>
      </c>
      <c r="AG161" s="9">
        <v>9.1265071839494123</v>
      </c>
      <c r="AH161" s="9">
        <v>13.596459919565776</v>
      </c>
      <c r="AI161" s="9">
        <v>8.7086128703506311</v>
      </c>
      <c r="AJ161" s="9">
        <v>2.5676542344143729</v>
      </c>
      <c r="AK161" s="9">
        <v>0.8638267756990694</v>
      </c>
      <c r="AL161" s="9">
        <v>1.6024700639226184</v>
      </c>
      <c r="AM161" s="9">
        <v>6.0373678010422189</v>
      </c>
      <c r="AN161" s="9">
        <v>8.9854660547861016</v>
      </c>
      <c r="AO161" s="9">
        <v>9.5433947185177797</v>
      </c>
      <c r="AP161" s="9">
        <v>6.3951131639128587</v>
      </c>
      <c r="AQ161" s="9">
        <v>6.2020402532882146</v>
      </c>
      <c r="AR161" s="9">
        <v>1.2779856043521229</v>
      </c>
      <c r="AS161" s="9">
        <v>6.0512854808470555</v>
      </c>
      <c r="AT161" s="9">
        <v>9.3119860482829981</v>
      </c>
      <c r="AU161" s="9">
        <v>14.073531737863068</v>
      </c>
      <c r="AV161" s="9">
        <v>8.8472649290213834</v>
      </c>
      <c r="AW161" s="9">
        <v>2.4748823483907092</v>
      </c>
      <c r="AX161" s="9">
        <v>0.66656745770157499</v>
      </c>
      <c r="AY161" s="9">
        <v>1.6014430804891147</v>
      </c>
      <c r="AZ161" s="9">
        <v>6.1430054940606613</v>
      </c>
      <c r="BA161" s="9">
        <v>9.2459323628599854</v>
      </c>
      <c r="BB161" s="9">
        <v>9.7583113295895725</v>
      </c>
      <c r="BC161" s="9">
        <v>6.3946494696987228</v>
      </c>
      <c r="BD161" s="9">
        <v>6.1934185297335587</v>
      </c>
    </row>
    <row r="162" spans="3:56" x14ac:dyDescent="0.25">
      <c r="C162" s="111">
        <v>33.120600000000003</v>
      </c>
      <c r="F162" s="111">
        <v>14.89</v>
      </c>
      <c r="G162" s="112">
        <v>49</v>
      </c>
      <c r="J162" s="111">
        <v>2217.89</v>
      </c>
      <c r="K162" s="111">
        <v>2006.58</v>
      </c>
      <c r="L162" s="91">
        <v>8.0570724064714287</v>
      </c>
      <c r="M162" s="12">
        <v>367.93125720206831</v>
      </c>
      <c r="N162" s="11">
        <v>13.974684906303938</v>
      </c>
      <c r="O162" s="11">
        <v>1840.5495210891365</v>
      </c>
      <c r="P162" s="11">
        <v>152.05579400455946</v>
      </c>
      <c r="Q162" s="11">
        <v>3.638834609371254</v>
      </c>
      <c r="R162" s="11">
        <v>2.3296846852510784</v>
      </c>
      <c r="S162" s="13">
        <v>11.552089613858694</v>
      </c>
      <c r="T162" s="14">
        <v>1024.7658608496315</v>
      </c>
      <c r="U162" s="91">
        <v>8.215714653463003</v>
      </c>
      <c r="V162" s="12">
        <v>239.71929671741452</v>
      </c>
      <c r="W162" s="11">
        <v>12.635949402599062</v>
      </c>
      <c r="X162" s="11">
        <v>1845.9020126716616</v>
      </c>
      <c r="Y162" s="11">
        <v>148.04203792573929</v>
      </c>
      <c r="Z162" s="11">
        <v>3.5693754675213993</v>
      </c>
      <c r="AA162" s="11">
        <v>2.2459568048435314</v>
      </c>
      <c r="AB162" s="13">
        <v>11.71185241683475</v>
      </c>
      <c r="AC162" s="14">
        <v>1026.1855378391845</v>
      </c>
      <c r="AD162" s="15">
        <v>4</v>
      </c>
      <c r="AE162" s="9">
        <v>1.42042465998653</v>
      </c>
      <c r="AF162" s="9">
        <v>5.9374669240078761</v>
      </c>
      <c r="AG162" s="9">
        <v>9.1400169400109252</v>
      </c>
      <c r="AH162" s="9">
        <v>13.633097643892377</v>
      </c>
      <c r="AI162" s="9">
        <v>8.7172963664294123</v>
      </c>
      <c r="AJ162" s="9">
        <v>2.5588882236229882</v>
      </c>
      <c r="AK162" s="9">
        <v>0.84628650268252836</v>
      </c>
      <c r="AL162" s="9">
        <v>1.6007400287628279</v>
      </c>
      <c r="AM162" s="9">
        <v>6.0433112727447282</v>
      </c>
      <c r="AN162" s="9">
        <v>9.0048104441065213</v>
      </c>
      <c r="AO162" s="9">
        <v>9.5580488031549447</v>
      </c>
      <c r="AP162" s="9">
        <v>6.3907430661480982</v>
      </c>
      <c r="AQ162" s="9">
        <v>6.1970778942157185</v>
      </c>
      <c r="AR162" s="9">
        <v>1.278095116687503</v>
      </c>
      <c r="AS162" s="9">
        <v>6.05111388834018</v>
      </c>
      <c r="AT162" s="9">
        <v>9.3115382419015642</v>
      </c>
      <c r="AU162" s="9">
        <v>14.073256198456603</v>
      </c>
      <c r="AV162" s="9">
        <v>8.8470257359070974</v>
      </c>
      <c r="AW162" s="9">
        <v>2.4745358362118726</v>
      </c>
      <c r="AX162" s="9">
        <v>0.66610979233178091</v>
      </c>
      <c r="AY162" s="9">
        <v>1.6013321937327538</v>
      </c>
      <c r="AZ162" s="9">
        <v>6.1427942689464397</v>
      </c>
      <c r="BA162" s="9">
        <v>9.2461521642222735</v>
      </c>
      <c r="BB162" s="9">
        <v>9.758210966636943</v>
      </c>
      <c r="BC162" s="9">
        <v>6.393990902312038</v>
      </c>
      <c r="BD162" s="9">
        <v>6.1928000673960479</v>
      </c>
    </row>
    <row r="163" spans="3:56" x14ac:dyDescent="0.25">
      <c r="C163" s="111">
        <v>33.075600000000001</v>
      </c>
      <c r="F163" s="111">
        <v>13.285</v>
      </c>
      <c r="G163" s="112">
        <v>95</v>
      </c>
      <c r="J163" s="111">
        <v>2212.6999999999998</v>
      </c>
      <c r="K163" s="111">
        <v>2027.55</v>
      </c>
      <c r="L163" s="91">
        <v>8.023475118653181</v>
      </c>
      <c r="M163" s="12">
        <v>399.12806939184122</v>
      </c>
      <c r="N163" s="11">
        <v>15.932705335323185</v>
      </c>
      <c r="O163" s="11">
        <v>1876.5240190078539</v>
      </c>
      <c r="P163" s="11">
        <v>135.09327565682278</v>
      </c>
      <c r="Q163" s="11">
        <v>3.204361912099158</v>
      </c>
      <c r="R163" s="11">
        <v>2.0456266689740557</v>
      </c>
      <c r="S163" s="13">
        <v>12.378661938985113</v>
      </c>
      <c r="T163" s="14">
        <v>1025.2713807426881</v>
      </c>
      <c r="U163" s="91">
        <v>8.1580421014828275</v>
      </c>
      <c r="V163" s="12">
        <v>278.99499136862653</v>
      </c>
      <c r="W163" s="11">
        <v>14.7101273140103</v>
      </c>
      <c r="X163" s="11">
        <v>1880.8935641924338</v>
      </c>
      <c r="Y163" s="11">
        <v>131.94630849355573</v>
      </c>
      <c r="Z163" s="11">
        <v>3.1820455649641533</v>
      </c>
      <c r="AA163" s="11">
        <v>2.0020429299678186</v>
      </c>
      <c r="AB163" s="13">
        <v>12.540993154503052</v>
      </c>
      <c r="AC163" s="14">
        <v>1026.1498757531349</v>
      </c>
      <c r="AD163" s="15">
        <v>4</v>
      </c>
      <c r="AE163" s="9">
        <v>1.3988227471619246</v>
      </c>
      <c r="AF163" s="9">
        <v>5.9524105152432751</v>
      </c>
      <c r="AG163" s="9">
        <v>9.166195513981755</v>
      </c>
      <c r="AH163" s="9">
        <v>13.700305136531679</v>
      </c>
      <c r="AI163" s="9">
        <v>8.7351405093775103</v>
      </c>
      <c r="AJ163" s="9">
        <v>2.544975368003028</v>
      </c>
      <c r="AK163" s="9">
        <v>0.81712781880636931</v>
      </c>
      <c r="AL163" s="9">
        <v>1.599028605209371</v>
      </c>
      <c r="AM163" s="9">
        <v>6.0561475004205576</v>
      </c>
      <c r="AN163" s="9">
        <v>9.040286292373116</v>
      </c>
      <c r="AO163" s="9">
        <v>9.5862743572156326</v>
      </c>
      <c r="AP163" s="9">
        <v>6.387482016013716</v>
      </c>
      <c r="AQ163" s="9">
        <v>6.1925668320405798</v>
      </c>
      <c r="AR163" s="9">
        <v>1.2779799752133889</v>
      </c>
      <c r="AS163" s="9">
        <v>6.0512943125469834</v>
      </c>
      <c r="AT163" s="9">
        <v>9.3120090775953663</v>
      </c>
      <c r="AU163" s="9">
        <v>14.073545911165704</v>
      </c>
      <c r="AV163" s="9">
        <v>8.8472772331355749</v>
      </c>
      <c r="AW163" s="9">
        <v>2.4749001655214395</v>
      </c>
      <c r="AX163" s="9">
        <v>0.66659096304089915</v>
      </c>
      <c r="AY163" s="9">
        <v>1.601448788970727</v>
      </c>
      <c r="AZ163" s="9">
        <v>6.143016373452336</v>
      </c>
      <c r="BA163" s="9">
        <v>9.2459211458026793</v>
      </c>
      <c r="BB163" s="9">
        <v>9.7583164959063176</v>
      </c>
      <c r="BC163" s="9">
        <v>6.3946833372348078</v>
      </c>
      <c r="BD163" s="9">
        <v>6.1934503289006297</v>
      </c>
    </row>
    <row r="164" spans="3:56" x14ac:dyDescent="0.25">
      <c r="C164" s="111">
        <v>33.695900000000002</v>
      </c>
      <c r="F164" s="111">
        <v>9.0310000000000006</v>
      </c>
      <c r="G164" s="112">
        <v>170</v>
      </c>
      <c r="J164" s="111">
        <v>2239.7399999999998</v>
      </c>
      <c r="K164" s="111">
        <v>2160.92</v>
      </c>
      <c r="L164" s="91">
        <v>7.7877815419863099</v>
      </c>
      <c r="M164" s="12">
        <v>722.07041360177982</v>
      </c>
      <c r="N164" s="11">
        <v>32.970614225857695</v>
      </c>
      <c r="O164" s="11">
        <v>2053.7988919534009</v>
      </c>
      <c r="P164" s="11">
        <v>74.150493820741275</v>
      </c>
      <c r="Q164" s="11">
        <v>1.7245567669854103</v>
      </c>
      <c r="R164" s="11">
        <v>1.0948776939915321</v>
      </c>
      <c r="S164" s="13">
        <v>16.950450344222517</v>
      </c>
      <c r="T164" s="14">
        <v>1026.865065613465</v>
      </c>
      <c r="U164" s="91">
        <v>7.8557991938203369</v>
      </c>
      <c r="V164" s="12">
        <v>610.39661365635584</v>
      </c>
      <c r="W164" s="11">
        <v>32.066014093974147</v>
      </c>
      <c r="X164" s="11">
        <v>2055.8687120900609</v>
      </c>
      <c r="Y164" s="11">
        <v>72.985273815964902</v>
      </c>
      <c r="Z164" s="11">
        <v>1.7543863245868978</v>
      </c>
      <c r="AA164" s="11">
        <v>1.105219858983568</v>
      </c>
      <c r="AB164" s="13">
        <v>17.163766431938438</v>
      </c>
      <c r="AC164" s="14">
        <v>1026.6415083468853</v>
      </c>
      <c r="AD164" s="15">
        <v>4</v>
      </c>
      <c r="AE164" s="9">
        <v>1.3404525125007467</v>
      </c>
      <c r="AF164" s="9">
        <v>5.9933506646762025</v>
      </c>
      <c r="AG164" s="9">
        <v>9.2302254095522702</v>
      </c>
      <c r="AH164" s="9">
        <v>13.87981888220911</v>
      </c>
      <c r="AI164" s="9">
        <v>8.7817123369392416</v>
      </c>
      <c r="AJ164" s="9">
        <v>2.5022489087625832</v>
      </c>
      <c r="AK164" s="9">
        <v>0.73155850741339035</v>
      </c>
      <c r="AL164" s="9">
        <v>1.5945615819173393</v>
      </c>
      <c r="AM164" s="9">
        <v>6.0906229821382141</v>
      </c>
      <c r="AN164" s="9">
        <v>9.1414677605416657</v>
      </c>
      <c r="AO164" s="9">
        <v>9.6644871179976359</v>
      </c>
      <c r="AP164" s="9">
        <v>6.3708683047699237</v>
      </c>
      <c r="AQ164" s="9">
        <v>6.1735564181739013</v>
      </c>
      <c r="AR164" s="9">
        <v>1.2795671364665657</v>
      </c>
      <c r="AS164" s="9">
        <v>6.0488487958039707</v>
      </c>
      <c r="AT164" s="9">
        <v>9.3055593292680019</v>
      </c>
      <c r="AU164" s="9">
        <v>14.069588317748369</v>
      </c>
      <c r="AV164" s="9">
        <v>8.8438432499993009</v>
      </c>
      <c r="AW164" s="9">
        <v>2.4698986410627448</v>
      </c>
      <c r="AX164" s="9">
        <v>0.65988616168911018</v>
      </c>
      <c r="AY164" s="9">
        <v>1.5998726415044264</v>
      </c>
      <c r="AZ164" s="9">
        <v>6.1400334486852381</v>
      </c>
      <c r="BA164" s="9">
        <v>9.249395398186083</v>
      </c>
      <c r="BB164" s="9">
        <v>9.7568885172252475</v>
      </c>
      <c r="BC164" s="9">
        <v>6.3851948495487374</v>
      </c>
      <c r="BD164" s="9">
        <v>6.1845182960568756</v>
      </c>
    </row>
    <row r="165" spans="3:56" x14ac:dyDescent="0.25">
      <c r="C165" s="111">
        <v>33.961799999999997</v>
      </c>
      <c r="F165" s="111">
        <v>8.2940000000000005</v>
      </c>
      <c r="G165" s="112">
        <v>231</v>
      </c>
      <c r="J165" s="111">
        <v>2260.66</v>
      </c>
      <c r="K165" s="111">
        <v>2191.67</v>
      </c>
      <c r="L165" s="91">
        <v>7.7611803799746406</v>
      </c>
      <c r="M165" s="12">
        <v>769.97808983703487</v>
      </c>
      <c r="N165" s="11">
        <v>35.989943004371348</v>
      </c>
      <c r="O165" s="11">
        <v>2086.1600077032022</v>
      </c>
      <c r="P165" s="11">
        <v>69.520049292426492</v>
      </c>
      <c r="Q165" s="11">
        <v>1.5954842029454146</v>
      </c>
      <c r="R165" s="11">
        <v>1.0130120092033519</v>
      </c>
      <c r="S165" s="13">
        <v>17.422981545095936</v>
      </c>
      <c r="T165" s="14">
        <v>1027.4670825477103</v>
      </c>
      <c r="U165" s="91">
        <v>7.8201532756248087</v>
      </c>
      <c r="V165" s="12">
        <v>672.34141946146474</v>
      </c>
      <c r="W165" s="11">
        <v>35.264876890357534</v>
      </c>
      <c r="X165" s="11">
        <v>2087.6983182987151</v>
      </c>
      <c r="Y165" s="11">
        <v>68.706804810927309</v>
      </c>
      <c r="Z165" s="11">
        <v>1.6491958402431102</v>
      </c>
      <c r="AA165" s="11">
        <v>1.0394838661992805</v>
      </c>
      <c r="AB165" s="13">
        <v>17.601841690289554</v>
      </c>
      <c r="AC165" s="14">
        <v>1026.8522870350987</v>
      </c>
      <c r="AD165" s="15">
        <v>4</v>
      </c>
      <c r="AE165" s="9">
        <v>1.3302972083715494</v>
      </c>
      <c r="AF165" s="9">
        <v>5.9980139232611496</v>
      </c>
      <c r="AG165" s="9">
        <v>9.2384179241968027</v>
      </c>
      <c r="AH165" s="9">
        <v>13.908962149691174</v>
      </c>
      <c r="AI165" s="9">
        <v>8.7865851547637046</v>
      </c>
      <c r="AJ165" s="9">
        <v>2.4925921335055885</v>
      </c>
      <c r="AK165" s="9">
        <v>0.71301460865196054</v>
      </c>
      <c r="AL165" s="9">
        <v>1.5923676072233874</v>
      </c>
      <c r="AM165" s="9">
        <v>6.0943267358136515</v>
      </c>
      <c r="AN165" s="9">
        <v>9.1581276366180386</v>
      </c>
      <c r="AO165" s="9">
        <v>9.6755958283821624</v>
      </c>
      <c r="AP165" s="9">
        <v>6.3616736555941795</v>
      </c>
      <c r="AQ165" s="9">
        <v>6.1643957409667989</v>
      </c>
      <c r="AR165" s="9">
        <v>1.2802474946436093</v>
      </c>
      <c r="AS165" s="9">
        <v>6.0478279063084912</v>
      </c>
      <c r="AT165" s="9">
        <v>9.30282126472523</v>
      </c>
      <c r="AU165" s="9">
        <v>14.067915274440546</v>
      </c>
      <c r="AV165" s="9">
        <v>8.8423927016835098</v>
      </c>
      <c r="AW165" s="9">
        <v>2.4677680649230771</v>
      </c>
      <c r="AX165" s="9">
        <v>0.65696284274416183</v>
      </c>
      <c r="AY165" s="9">
        <v>1.5992172536751557</v>
      </c>
      <c r="AZ165" s="9">
        <v>6.1388060718406301</v>
      </c>
      <c r="BA165" s="9">
        <v>9.2510736512170997</v>
      </c>
      <c r="BB165" s="9">
        <v>9.7562937890232551</v>
      </c>
      <c r="BC165" s="9">
        <v>6.3811636968451788</v>
      </c>
      <c r="BD165" s="9">
        <v>6.18070921917987</v>
      </c>
    </row>
    <row r="166" spans="3:56" x14ac:dyDescent="0.25">
      <c r="C166" s="111">
        <v>34.060099999999998</v>
      </c>
      <c r="F166" s="111">
        <v>7.2279999999999998</v>
      </c>
      <c r="G166" s="112">
        <v>320</v>
      </c>
      <c r="J166" s="111">
        <v>2277.0700000000002</v>
      </c>
      <c r="K166" s="111">
        <v>2249.96</v>
      </c>
      <c r="L166" s="91">
        <v>7.6323448097673205</v>
      </c>
      <c r="M166" s="12">
        <v>1047.7550616548401</v>
      </c>
      <c r="N166" s="11">
        <v>50.770165316273228</v>
      </c>
      <c r="O166" s="11">
        <v>2147.7773912100042</v>
      </c>
      <c r="P166" s="11">
        <v>51.41244347372276</v>
      </c>
      <c r="Q166" s="11">
        <v>1.1587905945429919</v>
      </c>
      <c r="R166" s="11">
        <v>0.73550425288241739</v>
      </c>
      <c r="S166" s="13">
        <v>18.713980760766855</v>
      </c>
      <c r="T166" s="14">
        <v>1028.1103701761251</v>
      </c>
      <c r="U166" s="91">
        <v>7.6779243656635314</v>
      </c>
      <c r="V166" s="12">
        <v>959.79397971262301</v>
      </c>
      <c r="W166" s="11">
        <v>50.312860174437773</v>
      </c>
      <c r="X166" s="11">
        <v>2148.5660696821615</v>
      </c>
      <c r="Y166" s="11">
        <v>51.081070143401014</v>
      </c>
      <c r="Z166" s="11">
        <v>1.2254701746901191</v>
      </c>
      <c r="AA166" s="11">
        <v>0.77255225131218119</v>
      </c>
      <c r="AB166" s="13">
        <v>18.844057530175188</v>
      </c>
      <c r="AC166" s="14">
        <v>1026.9302145372574</v>
      </c>
      <c r="AD166" s="15">
        <v>4</v>
      </c>
      <c r="AE166" s="9">
        <v>1.3146511900234892</v>
      </c>
      <c r="AF166" s="9">
        <v>6.0059641208880237</v>
      </c>
      <c r="AG166" s="9">
        <v>9.2532658311649421</v>
      </c>
      <c r="AH166" s="9">
        <v>13.953362409790108</v>
      </c>
      <c r="AI166" s="9">
        <v>8.7952306149256305</v>
      </c>
      <c r="AJ166" s="9">
        <v>2.4808476046338277</v>
      </c>
      <c r="AK166" s="9">
        <v>0.6887180297451394</v>
      </c>
      <c r="AL166" s="9">
        <v>1.5900082634336912</v>
      </c>
      <c r="AM166" s="9">
        <v>6.101239384746707</v>
      </c>
      <c r="AN166" s="9">
        <v>9.1808287805893372</v>
      </c>
      <c r="AO166" s="9">
        <v>9.6924591109410674</v>
      </c>
      <c r="AP166" s="9">
        <v>6.3525727163231496</v>
      </c>
      <c r="AQ166" s="9">
        <v>6.1551529430559082</v>
      </c>
      <c r="AR166" s="9">
        <v>1.2804990147970627</v>
      </c>
      <c r="AS166" s="9">
        <v>6.0474546593300875</v>
      </c>
      <c r="AT166" s="9">
        <v>9.3018130915885191</v>
      </c>
      <c r="AU166" s="9">
        <v>14.067300279058157</v>
      </c>
      <c r="AV166" s="9">
        <v>8.8418596863372922</v>
      </c>
      <c r="AW166" s="9">
        <v>2.466982421130036</v>
      </c>
      <c r="AX166" s="9">
        <v>0.65587437089550338</v>
      </c>
      <c r="AY166" s="9">
        <v>1.5989779965055626</v>
      </c>
      <c r="AZ166" s="9">
        <v>6.1383600054325127</v>
      </c>
      <c r="BA166" s="9">
        <v>9.2517223736690468</v>
      </c>
      <c r="BB166" s="9">
        <v>9.756076528524865</v>
      </c>
      <c r="BC166" s="9">
        <v>6.3796787586124308</v>
      </c>
      <c r="BD166" s="9">
        <v>6.1793038751416205</v>
      </c>
    </row>
    <row r="167" spans="3:56" x14ac:dyDescent="0.25">
      <c r="C167" s="111">
        <v>34.215499999999999</v>
      </c>
      <c r="F167" s="111">
        <v>5.6619999999999999</v>
      </c>
      <c r="G167" s="112">
        <v>514</v>
      </c>
      <c r="J167" s="111">
        <v>2313.35</v>
      </c>
      <c r="K167" s="111">
        <v>2311.87</v>
      </c>
      <c r="L167" s="91">
        <v>7.558164996961902</v>
      </c>
      <c r="M167" s="12">
        <v>1234.9094176912797</v>
      </c>
      <c r="N167" s="11">
        <v>63.162430674314884</v>
      </c>
      <c r="O167" s="11">
        <v>2206.1886282257383</v>
      </c>
      <c r="P167" s="11">
        <v>42.518941099946503</v>
      </c>
      <c r="Q167" s="11">
        <v>0.92106460042285554</v>
      </c>
      <c r="R167" s="11">
        <v>0.58491681985850597</v>
      </c>
      <c r="S167" s="13">
        <v>18.940971422754117</v>
      </c>
      <c r="T167" s="14">
        <v>1029.3379485574599</v>
      </c>
      <c r="U167" s="91">
        <v>7.5891614613505318</v>
      </c>
      <c r="V167" s="12">
        <v>1208.2276355240178</v>
      </c>
      <c r="W167" s="11">
        <v>63.27791027470122</v>
      </c>
      <c r="X167" s="11">
        <v>2205.6896388497785</v>
      </c>
      <c r="Y167" s="11">
        <v>42.902450875520039</v>
      </c>
      <c r="Z167" s="11">
        <v>1.0283953487750366</v>
      </c>
      <c r="AA167" s="11">
        <v>0.64849747325243223</v>
      </c>
      <c r="AB167" s="13">
        <v>18.908489613173824</v>
      </c>
      <c r="AC167" s="14">
        <v>1027.053413907355</v>
      </c>
      <c r="AD167" s="15">
        <v>4</v>
      </c>
      <c r="AE167" s="9">
        <v>1.2911762680902945</v>
      </c>
      <c r="AF167" s="9">
        <v>6.0149811898441472</v>
      </c>
      <c r="AG167" s="9">
        <v>9.2732251984232672</v>
      </c>
      <c r="AH167" s="9">
        <v>14.017054924356776</v>
      </c>
      <c r="AI167" s="9">
        <v>8.8046136704229969</v>
      </c>
      <c r="AJ167" s="9">
        <v>2.4622313661917161</v>
      </c>
      <c r="AK167" s="9">
        <v>0.65017643713834139</v>
      </c>
      <c r="AL167" s="9">
        <v>1.5850270682498888</v>
      </c>
      <c r="AM167" s="9">
        <v>6.1091154370823135</v>
      </c>
      <c r="AN167" s="9">
        <v>9.2115750037351969</v>
      </c>
      <c r="AO167" s="9">
        <v>9.7142152356265168</v>
      </c>
      <c r="AP167" s="9">
        <v>6.333366678689484</v>
      </c>
      <c r="AQ167" s="9">
        <v>6.1361706975546246</v>
      </c>
      <c r="AR167" s="9">
        <v>1.28089663668767</v>
      </c>
      <c r="AS167" s="9">
        <v>6.0468691865818851</v>
      </c>
      <c r="AT167" s="9">
        <v>9.3002237617555963</v>
      </c>
      <c r="AU167" s="9">
        <v>14.066331882436026</v>
      </c>
      <c r="AV167" s="9">
        <v>8.8410206022008602</v>
      </c>
      <c r="AW167" s="9">
        <v>2.4657426063015913</v>
      </c>
      <c r="AX167" s="9">
        <v>0.65414493134122276</v>
      </c>
      <c r="AY167" s="9">
        <v>1.5986030740744814</v>
      </c>
      <c r="AZ167" s="9">
        <v>6.1376632231583041</v>
      </c>
      <c r="BA167" s="9">
        <v>9.2527788420720096</v>
      </c>
      <c r="BB167" s="9">
        <v>9.7557359112614357</v>
      </c>
      <c r="BC167" s="9">
        <v>6.3773370287216835</v>
      </c>
      <c r="BD167" s="9">
        <v>6.17708521325007</v>
      </c>
    </row>
    <row r="168" spans="3:56" x14ac:dyDescent="0.25">
      <c r="C168" s="111">
        <v>33.472200000000001</v>
      </c>
      <c r="F168" s="111">
        <v>13.491</v>
      </c>
      <c r="G168" s="112">
        <v>2</v>
      </c>
      <c r="J168" s="111">
        <v>2291.96</v>
      </c>
      <c r="K168" s="111">
        <v>2004.91</v>
      </c>
      <c r="L168" s="91">
        <v>8.2125525513649933</v>
      </c>
      <c r="M168" s="12">
        <v>249.09753805604004</v>
      </c>
      <c r="N168" s="11">
        <v>9.8578511071804442</v>
      </c>
      <c r="O168" s="11">
        <v>1793.2665503372539</v>
      </c>
      <c r="P168" s="11">
        <v>201.78559855556568</v>
      </c>
      <c r="Q168" s="11">
        <v>4.8532050221769349</v>
      </c>
      <c r="R168" s="11">
        <v>3.0986722049264555</v>
      </c>
      <c r="S168" s="13">
        <v>10.003621259673968</v>
      </c>
      <c r="T168" s="14">
        <v>1025.1206235841953</v>
      </c>
      <c r="U168" s="91">
        <v>8.3495492638192381</v>
      </c>
      <c r="V168" s="12">
        <v>171.37708627786409</v>
      </c>
      <c r="W168" s="11">
        <v>9.0148395082663768</v>
      </c>
      <c r="X168" s="11">
        <v>1797.9882923663815</v>
      </c>
      <c r="Y168" s="11">
        <v>197.9068681253521</v>
      </c>
      <c r="Z168" s="11">
        <v>4.7628407022741515</v>
      </c>
      <c r="AA168" s="11">
        <v>2.9991281121970674</v>
      </c>
      <c r="AB168" s="13">
        <v>10.088242563726213</v>
      </c>
      <c r="AC168" s="14">
        <v>1026.4641973042742</v>
      </c>
      <c r="AD168" s="15">
        <v>4</v>
      </c>
      <c r="AE168" s="9">
        <v>1.4025871809367625</v>
      </c>
      <c r="AF168" s="9">
        <v>5.9526899579589685</v>
      </c>
      <c r="AG168" s="9">
        <v>9.1613072316663509</v>
      </c>
      <c r="AH168" s="9">
        <v>13.691820715352097</v>
      </c>
      <c r="AI168" s="9">
        <v>8.7350107739360077</v>
      </c>
      <c r="AJ168" s="9">
        <v>2.5452096871776217</v>
      </c>
      <c r="AK168" s="9">
        <v>0.82020695692766654</v>
      </c>
      <c r="AL168" s="9">
        <v>1.6001092727277815</v>
      </c>
      <c r="AM168" s="9">
        <v>6.055696987463695</v>
      </c>
      <c r="AN168" s="9">
        <v>9.0409181582074325</v>
      </c>
      <c r="AO168" s="9">
        <v>9.5860790942551191</v>
      </c>
      <c r="AP168" s="9">
        <v>6.3883361316448166</v>
      </c>
      <c r="AQ168" s="9">
        <v>6.1934831298453119</v>
      </c>
      <c r="AR168" s="9">
        <v>1.2789947554052477</v>
      </c>
      <c r="AS168" s="9">
        <v>6.0497204036855585</v>
      </c>
      <c r="AT168" s="9">
        <v>9.307875257161502</v>
      </c>
      <c r="AU168" s="9">
        <v>14.071006665441216</v>
      </c>
      <c r="AV168" s="9">
        <v>8.8450735336044737</v>
      </c>
      <c r="AW168" s="9">
        <v>2.4716972689354844</v>
      </c>
      <c r="AX168" s="9">
        <v>0.66232231071073278</v>
      </c>
      <c r="AY168" s="9">
        <v>1.6004333710849785</v>
      </c>
      <c r="AZ168" s="9">
        <v>6.1410897331327545</v>
      </c>
      <c r="BA168" s="9">
        <v>9.2480708051106078</v>
      </c>
      <c r="BB168" s="9">
        <v>9.7573968938930928</v>
      </c>
      <c r="BC168" s="9">
        <v>6.38860285091517</v>
      </c>
      <c r="BD168" s="9">
        <v>6.1877318122391127</v>
      </c>
    </row>
    <row r="169" spans="3:56" x14ac:dyDescent="0.25">
      <c r="C169" s="111">
        <v>33.688000000000002</v>
      </c>
      <c r="F169" s="111">
        <v>9.8940000000000001</v>
      </c>
      <c r="G169" s="112">
        <v>33</v>
      </c>
      <c r="J169" s="111">
        <v>2238.5500000000002</v>
      </c>
      <c r="K169" s="111">
        <v>2162.6799999999998</v>
      </c>
      <c r="L169" s="91">
        <v>7.7710465713340904</v>
      </c>
      <c r="M169" s="12">
        <v>766.58003923052001</v>
      </c>
      <c r="N169" s="11">
        <v>34.010994472623466</v>
      </c>
      <c r="O169" s="11">
        <v>2055.4771790308073</v>
      </c>
      <c r="P169" s="11">
        <v>73.191826496569149</v>
      </c>
      <c r="Q169" s="11">
        <v>1.7466087280617981</v>
      </c>
      <c r="R169" s="11">
        <v>1.1086273781763141</v>
      </c>
      <c r="S169" s="13">
        <v>17.004039382774089</v>
      </c>
      <c r="T169" s="14">
        <v>1026.0953470329234</v>
      </c>
      <c r="U169" s="91">
        <v>7.8465068724566454</v>
      </c>
      <c r="V169" s="12">
        <v>624.36965713706934</v>
      </c>
      <c r="W169" s="11">
        <v>32.801587779769683</v>
      </c>
      <c r="X169" s="11">
        <v>2058.3648667981306</v>
      </c>
      <c r="Y169" s="11">
        <v>71.513545422099355</v>
      </c>
      <c r="Z169" s="11">
        <v>1.7190818779869801</v>
      </c>
      <c r="AA169" s="11">
        <v>1.0829621035213353</v>
      </c>
      <c r="AB169" s="13">
        <v>17.292330694477965</v>
      </c>
      <c r="AC169" s="14">
        <v>1026.6352463357857</v>
      </c>
      <c r="AD169" s="15">
        <v>4</v>
      </c>
      <c r="AE169" s="9">
        <v>1.3529381758135108</v>
      </c>
      <c r="AF169" s="9">
        <v>5.9897532427285496</v>
      </c>
      <c r="AG169" s="9">
        <v>9.2194966456357914</v>
      </c>
      <c r="AH169" s="9">
        <v>13.846259178321842</v>
      </c>
      <c r="AI169" s="9">
        <v>8.7777720484011255</v>
      </c>
      <c r="AJ169" s="9">
        <v>2.5122863800688946</v>
      </c>
      <c r="AK169" s="9">
        <v>0.75214012034626754</v>
      </c>
      <c r="AL169" s="9">
        <v>1.5979789403709033</v>
      </c>
      <c r="AM169" s="9">
        <v>6.0875413792907933</v>
      </c>
      <c r="AN169" s="9">
        <v>9.1267165990099386</v>
      </c>
      <c r="AO169" s="9">
        <v>9.6543175751337458</v>
      </c>
      <c r="AP169" s="9">
        <v>6.3821397310840977</v>
      </c>
      <c r="AQ169" s="9">
        <v>6.1847297045577907</v>
      </c>
      <c r="AR169" s="9">
        <v>1.2795469227411103</v>
      </c>
      <c r="AS169" s="9">
        <v>6.0488793784420061</v>
      </c>
      <c r="AT169" s="9">
        <v>9.3056409234044679</v>
      </c>
      <c r="AU169" s="9">
        <v>14.069638237702483</v>
      </c>
      <c r="AV169" s="9">
        <v>8.8438865424607052</v>
      </c>
      <c r="AW169" s="9">
        <v>2.4699620631618528</v>
      </c>
      <c r="AX169" s="9">
        <v>0.65997255242303787</v>
      </c>
      <c r="AY169" s="9">
        <v>1.5998922975321543</v>
      </c>
      <c r="AZ169" s="9">
        <v>6.1400703811251436</v>
      </c>
      <c r="BA169" s="9">
        <v>9.2493472553964615</v>
      </c>
      <c r="BB169" s="9">
        <v>9.7569063450241309</v>
      </c>
      <c r="BC169" s="9">
        <v>6.3853149426903988</v>
      </c>
      <c r="BD169" s="9">
        <v>6.1846316400099361</v>
      </c>
    </row>
    <row r="170" spans="3:56" x14ac:dyDescent="0.25">
      <c r="C170" s="111">
        <v>33.7639</v>
      </c>
      <c r="F170" s="111">
        <v>9.6620000000000008</v>
      </c>
      <c r="G170" s="112">
        <v>50</v>
      </c>
      <c r="J170" s="111">
        <v>2255.2199999999998</v>
      </c>
      <c r="K170" s="111">
        <v>2174.0500000000002</v>
      </c>
      <c r="L170" s="91">
        <v>7.7886407948025251</v>
      </c>
      <c r="M170" s="12">
        <v>736.86121813539171</v>
      </c>
      <c r="N170" s="11">
        <v>32.930729011373849</v>
      </c>
      <c r="O170" s="11">
        <v>2065.022919357777</v>
      </c>
      <c r="P170" s="11">
        <v>76.096351630849341</v>
      </c>
      <c r="Q170" s="11">
        <v>1.8093631685762201</v>
      </c>
      <c r="R170" s="11">
        <v>1.1484124121061638</v>
      </c>
      <c r="S170" s="13">
        <v>16.830928708846209</v>
      </c>
      <c r="T170" s="14">
        <v>1026.2704435017833</v>
      </c>
      <c r="U170" s="91">
        <v>7.8615705958400444</v>
      </c>
      <c r="V170" s="12">
        <v>605.69163124716295</v>
      </c>
      <c r="W170" s="11">
        <v>31.80610183366375</v>
      </c>
      <c r="X170" s="11">
        <v>2067.7350415885162</v>
      </c>
      <c r="Y170" s="11">
        <v>74.508856577820254</v>
      </c>
      <c r="Z170" s="11">
        <v>1.7903605698981302</v>
      </c>
      <c r="AA170" s="11">
        <v>1.1280326877317641</v>
      </c>
      <c r="AB170" s="13">
        <v>17.091064879993944</v>
      </c>
      <c r="AC170" s="14">
        <v>1026.6954099440002</v>
      </c>
      <c r="AD170" s="15">
        <v>4</v>
      </c>
      <c r="AE170" s="9">
        <v>1.349784354590102</v>
      </c>
      <c r="AF170" s="9">
        <v>5.9913172637281287</v>
      </c>
      <c r="AG170" s="9">
        <v>9.2222018355636983</v>
      </c>
      <c r="AH170" s="9">
        <v>13.855459003752252</v>
      </c>
      <c r="AI170" s="9">
        <v>8.7794520794799649</v>
      </c>
      <c r="AJ170" s="9">
        <v>2.5093635325221233</v>
      </c>
      <c r="AK170" s="9">
        <v>0.74654877789556484</v>
      </c>
      <c r="AL170" s="9">
        <v>1.5973463807347026</v>
      </c>
      <c r="AM170" s="9">
        <v>6.0887840356954053</v>
      </c>
      <c r="AN170" s="9">
        <v>9.1319604450864986</v>
      </c>
      <c r="AO170" s="9">
        <v>9.6579018361437949</v>
      </c>
      <c r="AP170" s="9">
        <v>6.3795912233266874</v>
      </c>
      <c r="AQ170" s="9">
        <v>6.1821633554901192</v>
      </c>
      <c r="AR170" s="9">
        <v>1.2797411280274498</v>
      </c>
      <c r="AS170" s="9">
        <v>6.0485861531987606</v>
      </c>
      <c r="AT170" s="9">
        <v>9.3048575848635942</v>
      </c>
      <c r="AU170" s="9">
        <v>14.069159137067048</v>
      </c>
      <c r="AV170" s="9">
        <v>8.8434710746645191</v>
      </c>
      <c r="AW170" s="9">
        <v>2.4693530208208552</v>
      </c>
      <c r="AX170" s="9">
        <v>0.65914145022620851</v>
      </c>
      <c r="AY170" s="9">
        <v>1.5997038911449337</v>
      </c>
      <c r="AZ170" s="9">
        <v>6.1397166657306839</v>
      </c>
      <c r="BA170" s="9">
        <v>9.2498139050985237</v>
      </c>
      <c r="BB170" s="9">
        <v>9.7567354413135128</v>
      </c>
      <c r="BC170" s="9">
        <v>6.3841619190539562</v>
      </c>
      <c r="BD170" s="9">
        <v>6.1835430991335034</v>
      </c>
    </row>
    <row r="171" spans="3:56" x14ac:dyDescent="0.25">
      <c r="C171" s="111">
        <v>34.006500000000003</v>
      </c>
      <c r="F171" s="111">
        <v>9.1880000000000006</v>
      </c>
      <c r="G171" s="112">
        <v>99</v>
      </c>
      <c r="J171" s="111">
        <v>2258.5500000000002</v>
      </c>
      <c r="K171" s="111">
        <v>2211.5500000000002</v>
      </c>
      <c r="L171" s="91">
        <v>7.6808412628394471</v>
      </c>
      <c r="M171" s="12">
        <v>955.34312426966733</v>
      </c>
      <c r="N171" s="11">
        <v>43.315041324319424</v>
      </c>
      <c r="O171" s="11">
        <v>2108.2100232780008</v>
      </c>
      <c r="P171" s="11">
        <v>60.024935397679897</v>
      </c>
      <c r="Q171" s="11">
        <v>1.4121718109911716</v>
      </c>
      <c r="R171" s="11">
        <v>0.89654567904334381</v>
      </c>
      <c r="S171" s="13">
        <v>18.081580695033033</v>
      </c>
      <c r="T171" s="14">
        <v>1026.7602385754446</v>
      </c>
      <c r="U171" s="91">
        <v>7.7467652067848309</v>
      </c>
      <c r="V171" s="12">
        <v>804.7593901697461</v>
      </c>
      <c r="W171" s="11">
        <v>42.199196749021638</v>
      </c>
      <c r="X171" s="11">
        <v>2110.6270032830139</v>
      </c>
      <c r="Y171" s="11">
        <v>58.723799967964467</v>
      </c>
      <c r="Z171" s="11">
        <v>1.4092312502423114</v>
      </c>
      <c r="AA171" s="11">
        <v>0.88830917787952357</v>
      </c>
      <c r="AB171" s="13">
        <v>18.381214609548376</v>
      </c>
      <c r="AC171" s="14">
        <v>1026.8877226926543</v>
      </c>
      <c r="AD171" s="15">
        <v>4</v>
      </c>
      <c r="AE171" s="9">
        <v>1.3435206492080847</v>
      </c>
      <c r="AF171" s="9">
        <v>5.9935661220978638</v>
      </c>
      <c r="AG171" s="9">
        <v>9.2264234353345476</v>
      </c>
      <c r="AH171" s="9">
        <v>13.873248070188712</v>
      </c>
      <c r="AI171" s="9">
        <v>8.7816741423007016</v>
      </c>
      <c r="AJ171" s="9">
        <v>2.5024221998425662</v>
      </c>
      <c r="AK171" s="9">
        <v>0.73371508346215031</v>
      </c>
      <c r="AL171" s="9">
        <v>1.5954853226092369</v>
      </c>
      <c r="AM171" s="9">
        <v>6.0903688139212733</v>
      </c>
      <c r="AN171" s="9">
        <v>9.1425718246067564</v>
      </c>
      <c r="AO171" s="9">
        <v>9.6643185088072592</v>
      </c>
      <c r="AP171" s="9">
        <v>6.3718758192991185</v>
      </c>
      <c r="AQ171" s="9">
        <v>6.1745607029906857</v>
      </c>
      <c r="AR171" s="9">
        <v>1.2803618685078959</v>
      </c>
      <c r="AS171" s="9">
        <v>6.0476579009537001</v>
      </c>
      <c r="AT171" s="9">
        <v>9.3023625463214135</v>
      </c>
      <c r="AU171" s="9">
        <v>14.067635383612375</v>
      </c>
      <c r="AV171" s="9">
        <v>8.8421501074881093</v>
      </c>
      <c r="AW171" s="9">
        <v>2.4674106752957838</v>
      </c>
      <c r="AX171" s="9">
        <v>0.65646840640249393</v>
      </c>
      <c r="AY171" s="9">
        <v>1.5991082541948523</v>
      </c>
      <c r="AZ171" s="9">
        <v>6.1386027202604421</v>
      </c>
      <c r="BA171" s="9">
        <v>9.2513667602578948</v>
      </c>
      <c r="BB171" s="9">
        <v>9.7561948206623903</v>
      </c>
      <c r="BC171" s="9">
        <v>6.3804880971338997</v>
      </c>
      <c r="BD171" s="9">
        <v>6.180069981070293</v>
      </c>
    </row>
    <row r="172" spans="3:56" x14ac:dyDescent="0.25">
      <c r="C172" s="111">
        <v>34.125399999999999</v>
      </c>
      <c r="F172" s="111">
        <v>8.7799999999999994</v>
      </c>
      <c r="G172" s="112">
        <v>170</v>
      </c>
      <c r="J172" s="111">
        <v>2271.14</v>
      </c>
      <c r="K172" s="111">
        <v>2243.81</v>
      </c>
      <c r="L172" s="91">
        <v>7.6163336904020271</v>
      </c>
      <c r="M172" s="12">
        <v>1113.3522431049582</v>
      </c>
      <c r="N172" s="11">
        <v>51.141298612759392</v>
      </c>
      <c r="O172" s="11">
        <v>2140.5826851667116</v>
      </c>
      <c r="P172" s="11">
        <v>52.086016220528954</v>
      </c>
      <c r="Q172" s="11">
        <v>1.2082644938467824</v>
      </c>
      <c r="R172" s="11">
        <v>0.76740642976374251</v>
      </c>
      <c r="S172" s="13">
        <v>18.534387335278176</v>
      </c>
      <c r="T172" s="14">
        <v>1027.2413121104616</v>
      </c>
      <c r="U172" s="91">
        <v>7.6780802601497831</v>
      </c>
      <c r="V172" s="12">
        <v>956.63012545197819</v>
      </c>
      <c r="W172" s="11">
        <v>50.127720421754937</v>
      </c>
      <c r="X172" s="11">
        <v>2142.6451853481908</v>
      </c>
      <c r="Y172" s="11">
        <v>51.037094230054123</v>
      </c>
      <c r="Z172" s="11">
        <v>1.2239837874664019</v>
      </c>
      <c r="AA172" s="11">
        <v>0.77170783184316782</v>
      </c>
      <c r="AB172" s="13">
        <v>18.819750106478178</v>
      </c>
      <c r="AC172" s="14">
        <v>1026.9819827837443</v>
      </c>
      <c r="AD172" s="15">
        <v>4</v>
      </c>
      <c r="AE172" s="9">
        <v>1.3378608367297051</v>
      </c>
      <c r="AF172" s="9">
        <v>5.9945734339515795</v>
      </c>
      <c r="AG172" s="9">
        <v>9.2301445567158265</v>
      </c>
      <c r="AH172" s="9">
        <v>13.888219255252292</v>
      </c>
      <c r="AI172" s="9">
        <v>8.7825895250505646</v>
      </c>
      <c r="AJ172" s="9">
        <v>2.4966317662447555</v>
      </c>
      <c r="AK172" s="9">
        <v>0.7225352318556858</v>
      </c>
      <c r="AL172" s="9">
        <v>1.5934264928929747</v>
      </c>
      <c r="AM172" s="9">
        <v>6.0910618827854535</v>
      </c>
      <c r="AN172" s="9">
        <v>9.1499718754716266</v>
      </c>
      <c r="AO172" s="9">
        <v>9.6685757400463928</v>
      </c>
      <c r="AP172" s="9">
        <v>6.3642450394735768</v>
      </c>
      <c r="AQ172" s="9">
        <v>6.1671084596539716</v>
      </c>
      <c r="AR172" s="9">
        <v>1.2806660978694997</v>
      </c>
      <c r="AS172" s="9">
        <v>6.0472079561679761</v>
      </c>
      <c r="AT172" s="9">
        <v>9.3011445793869569</v>
      </c>
      <c r="AU172" s="9">
        <v>14.066892782256584</v>
      </c>
      <c r="AV172" s="9">
        <v>8.8415065697015205</v>
      </c>
      <c r="AW172" s="9">
        <v>2.4664611176386826</v>
      </c>
      <c r="AX172" s="9">
        <v>0.65514895624535496</v>
      </c>
      <c r="AY172" s="9">
        <v>1.59881995862313</v>
      </c>
      <c r="AZ172" s="9">
        <v>6.1380659638970112</v>
      </c>
      <c r="BA172" s="9">
        <v>9.2521617048036351</v>
      </c>
      <c r="BB172" s="9">
        <v>9.755932975699837</v>
      </c>
      <c r="BC172" s="9">
        <v>6.3786938930829038</v>
      </c>
      <c r="BD172" s="9">
        <v>6.1783711355772004</v>
      </c>
    </row>
    <row r="173" spans="3:56" x14ac:dyDescent="0.25">
      <c r="C173" s="111">
        <v>34.174799999999998</v>
      </c>
      <c r="F173" s="111">
        <v>8.3149999999999995</v>
      </c>
      <c r="G173" s="112">
        <v>230</v>
      </c>
      <c r="J173" s="111">
        <v>2282.6799999999998</v>
      </c>
      <c r="K173" s="111">
        <v>2270.83</v>
      </c>
      <c r="L173" s="91">
        <v>7.5674692120593052</v>
      </c>
      <c r="M173" s="12">
        <v>1248.4385626286921</v>
      </c>
      <c r="N173" s="11">
        <v>58.240202165354866</v>
      </c>
      <c r="O173" s="11">
        <v>2166.1117201672923</v>
      </c>
      <c r="P173" s="11">
        <v>46.478077667352657</v>
      </c>
      <c r="Q173" s="11">
        <v>1.0655749492101589</v>
      </c>
      <c r="R173" s="11">
        <v>0.67683586885391323</v>
      </c>
      <c r="S173" s="13">
        <v>18.686902226592551</v>
      </c>
      <c r="T173" s="14">
        <v>1027.6260311723022</v>
      </c>
      <c r="U173" s="91">
        <v>7.6242776723567793</v>
      </c>
      <c r="V173" s="12">
        <v>1095.3466598707469</v>
      </c>
      <c r="W173" s="11">
        <v>57.379807990261888</v>
      </c>
      <c r="X173" s="11">
        <v>2167.7778831061541</v>
      </c>
      <c r="Y173" s="11">
        <v>45.672308903583584</v>
      </c>
      <c r="Z173" s="11">
        <v>1.0950316974080514</v>
      </c>
      <c r="AA173" s="11">
        <v>0.69046706876157127</v>
      </c>
      <c r="AB173" s="13">
        <v>18.93222530942576</v>
      </c>
      <c r="AC173" s="14">
        <v>1027.0211467243489</v>
      </c>
      <c r="AD173" s="15">
        <v>4</v>
      </c>
      <c r="AE173" s="9">
        <v>1.3311443011417825</v>
      </c>
      <c r="AF173" s="9">
        <v>5.9970112337071715</v>
      </c>
      <c r="AG173" s="9">
        <v>9.2359019069167143</v>
      </c>
      <c r="AH173" s="9">
        <v>13.906663657011409</v>
      </c>
      <c r="AI173" s="9">
        <v>8.7852010028251311</v>
      </c>
      <c r="AJ173" s="9">
        <v>2.4910925586463097</v>
      </c>
      <c r="AK173" s="9">
        <v>0.71126748770373349</v>
      </c>
      <c r="AL173" s="9">
        <v>1.5918361625798971</v>
      </c>
      <c r="AM173" s="9">
        <v>6.0931392542899401</v>
      </c>
      <c r="AN173" s="9">
        <v>9.1589127498853955</v>
      </c>
      <c r="AO173" s="9">
        <v>9.6747443658250205</v>
      </c>
      <c r="AP173" s="9">
        <v>6.3585117815743493</v>
      </c>
      <c r="AQ173" s="9">
        <v>6.1614111455703666</v>
      </c>
      <c r="AR173" s="9">
        <v>1.2807924976210823</v>
      </c>
      <c r="AS173" s="9">
        <v>6.0470219819351652</v>
      </c>
      <c r="AT173" s="9">
        <v>9.3006394860645081</v>
      </c>
      <c r="AU173" s="9">
        <v>14.066585057542477</v>
      </c>
      <c r="AV173" s="9">
        <v>8.8412399431566193</v>
      </c>
      <c r="AW173" s="9">
        <v>2.4660670612704245</v>
      </c>
      <c r="AX173" s="9">
        <v>0.65459891790467617</v>
      </c>
      <c r="AY173" s="9">
        <v>1.598700876952277</v>
      </c>
      <c r="AZ173" s="9">
        <v>6.1378447230553297</v>
      </c>
      <c r="BA173" s="9">
        <v>9.2524984982412981</v>
      </c>
      <c r="BB173" s="9">
        <v>9.7558247848199535</v>
      </c>
      <c r="BC173" s="9">
        <v>6.3779496602170687</v>
      </c>
      <c r="BD173" s="9">
        <v>6.1776659396281755</v>
      </c>
    </row>
    <row r="174" spans="3:56" x14ac:dyDescent="0.25">
      <c r="C174" s="111">
        <v>34.207799999999999</v>
      </c>
      <c r="F174" s="111">
        <v>7.6909999999999998</v>
      </c>
      <c r="G174" s="112">
        <v>320</v>
      </c>
      <c r="J174" s="111">
        <v>2293.63</v>
      </c>
      <c r="K174" s="111">
        <v>2291.88</v>
      </c>
      <c r="L174" s="91">
        <v>7.5381696266016238</v>
      </c>
      <c r="M174" s="12">
        <v>1328.5063942485965</v>
      </c>
      <c r="N174" s="11">
        <v>63.299569136965211</v>
      </c>
      <c r="O174" s="11">
        <v>2185.5260861414395</v>
      </c>
      <c r="P174" s="11">
        <v>43.054344721595228</v>
      </c>
      <c r="Q174" s="11">
        <v>0.96988013836972065</v>
      </c>
      <c r="R174" s="11">
        <v>0.61617598548991237</v>
      </c>
      <c r="S174" s="13">
        <v>18.709163409489076</v>
      </c>
      <c r="T174" s="14">
        <v>1028.1571149591666</v>
      </c>
      <c r="U174" s="91">
        <v>7.5895499086233347</v>
      </c>
      <c r="V174" s="12">
        <v>1196.7461662177252</v>
      </c>
      <c r="W174" s="11">
        <v>62.679440362865691</v>
      </c>
      <c r="X174" s="11">
        <v>2186.6383193084243</v>
      </c>
      <c r="Y174" s="11">
        <v>42.562240328710168</v>
      </c>
      <c r="Z174" s="11">
        <v>1.020282883106002</v>
      </c>
      <c r="AA174" s="11">
        <v>0.64337290480921527</v>
      </c>
      <c r="AB174" s="13">
        <v>18.885417092121028</v>
      </c>
      <c r="AC174" s="14">
        <v>1027.0473092680184</v>
      </c>
      <c r="AD174" s="15">
        <v>4</v>
      </c>
      <c r="AE174" s="9">
        <v>1.3219628951564069</v>
      </c>
      <c r="AF174" s="9">
        <v>6.0000143859677024</v>
      </c>
      <c r="AG174" s="9">
        <v>9.2437086373946169</v>
      </c>
      <c r="AH174" s="9">
        <v>13.931419526994722</v>
      </c>
      <c r="AI174" s="9">
        <v>8.788395632157707</v>
      </c>
      <c r="AJ174" s="9">
        <v>2.483733046704828</v>
      </c>
      <c r="AK174" s="9">
        <v>0.69607339794287382</v>
      </c>
      <c r="AL174" s="9">
        <v>1.5895632031888822</v>
      </c>
      <c r="AM174" s="9">
        <v>6.0957511470281185</v>
      </c>
      <c r="AN174" s="9">
        <v>9.17030570969421</v>
      </c>
      <c r="AO174" s="9">
        <v>9.6826497363132304</v>
      </c>
      <c r="AP174" s="9">
        <v>6.3504578561394736</v>
      </c>
      <c r="AQ174" s="9">
        <v>6.1534445587419642</v>
      </c>
      <c r="AR174" s="9">
        <v>1.2808769347020998</v>
      </c>
      <c r="AS174" s="9">
        <v>6.0468980642702155</v>
      </c>
      <c r="AT174" s="9">
        <v>9.3003023835221565</v>
      </c>
      <c r="AU174" s="9">
        <v>14.06637975584793</v>
      </c>
      <c r="AV174" s="9">
        <v>8.8410620763506849</v>
      </c>
      <c r="AW174" s="9">
        <v>2.4658039756386541</v>
      </c>
      <c r="AX174" s="9">
        <v>0.65423087748774578</v>
      </c>
      <c r="AY174" s="9">
        <v>1.5986215560800505</v>
      </c>
      <c r="AZ174" s="9">
        <v>6.1376975071683706</v>
      </c>
      <c r="BA174" s="9">
        <v>9.2527256058206984</v>
      </c>
      <c r="BB174" s="9">
        <v>9.7557527069445964</v>
      </c>
      <c r="BC174" s="9">
        <v>6.3774528952110847</v>
      </c>
      <c r="BD174" s="9">
        <v>6.1771950614381534</v>
      </c>
    </row>
    <row r="175" spans="3:56" x14ac:dyDescent="0.25">
      <c r="C175" s="111">
        <v>34.2502</v>
      </c>
      <c r="F175" s="111">
        <v>6.6429999999999998</v>
      </c>
      <c r="G175" s="112">
        <v>515</v>
      </c>
      <c r="J175" s="111">
        <v>2336.02</v>
      </c>
      <c r="K175" s="111">
        <v>2342.88</v>
      </c>
      <c r="L175" s="91">
        <v>7.5168215916436312</v>
      </c>
      <c r="M175" s="12">
        <v>1385.7239509415808</v>
      </c>
      <c r="N175" s="11">
        <v>68.452111883325458</v>
      </c>
      <c r="O175" s="11">
        <v>2233.6765493230919</v>
      </c>
      <c r="P175" s="11">
        <v>40.751338793582654</v>
      </c>
      <c r="Q175" s="11">
        <v>0.8833629765925326</v>
      </c>
      <c r="R175" s="11">
        <v>0.56173711023409223</v>
      </c>
      <c r="S175" s="13">
        <v>18.761719837978653</v>
      </c>
      <c r="T175" s="14">
        <v>1029.2328348275846</v>
      </c>
      <c r="U175" s="91">
        <v>7.5615614954401815</v>
      </c>
      <c r="V175" s="12">
        <v>1303.7916497901904</v>
      </c>
      <c r="W175" s="11">
        <v>68.268879008681211</v>
      </c>
      <c r="X175" s="11">
        <v>2233.8039091867331</v>
      </c>
      <c r="Y175" s="11">
        <v>40.807211804585478</v>
      </c>
      <c r="Z175" s="11">
        <v>0.97798727716289757</v>
      </c>
      <c r="AA175" s="11">
        <v>0.61674893450286183</v>
      </c>
      <c r="AB175" s="13">
        <v>18.813314790032287</v>
      </c>
      <c r="AC175" s="14">
        <v>1027.0809246401507</v>
      </c>
      <c r="AD175" s="15">
        <v>4</v>
      </c>
      <c r="AE175" s="9">
        <v>1.3062898718824858</v>
      </c>
      <c r="AF175" s="9">
        <v>6.0031881584571725</v>
      </c>
      <c r="AG175" s="9">
        <v>9.2556999952735381</v>
      </c>
      <c r="AH175" s="9">
        <v>13.971830919157757</v>
      </c>
      <c r="AI175" s="9">
        <v>8.7915183945382669</v>
      </c>
      <c r="AJ175" s="9">
        <v>2.470633810783244</v>
      </c>
      <c r="AK175" s="9">
        <v>0.66899325587211533</v>
      </c>
      <c r="AL175" s="9">
        <v>1.5846910608926781</v>
      </c>
      <c r="AM175" s="9">
        <v>6.0985295961804225</v>
      </c>
      <c r="AN175" s="9">
        <v>9.1873673758965175</v>
      </c>
      <c r="AO175" s="9">
        <v>9.6937564755326111</v>
      </c>
      <c r="AP175" s="9">
        <v>6.3332161187919773</v>
      </c>
      <c r="AQ175" s="9">
        <v>6.1366100413598499</v>
      </c>
      <c r="AR175" s="9">
        <v>1.2809854235577092</v>
      </c>
      <c r="AS175" s="9">
        <v>6.0467392205073027</v>
      </c>
      <c r="AT175" s="9">
        <v>9.2998696199016457</v>
      </c>
      <c r="AU175" s="9">
        <v>14.066116283388597</v>
      </c>
      <c r="AV175" s="9">
        <v>8.8408338310761376</v>
      </c>
      <c r="AW175" s="9">
        <v>2.4654661269566724</v>
      </c>
      <c r="AX175" s="9">
        <v>0.65375728586871573</v>
      </c>
      <c r="AY175" s="9">
        <v>1.5985199078931307</v>
      </c>
      <c r="AZ175" s="9">
        <v>6.1375090337051201</v>
      </c>
      <c r="BA175" s="9">
        <v>9.2530198974082811</v>
      </c>
      <c r="BB175" s="9">
        <v>9.7556603270787434</v>
      </c>
      <c r="BC175" s="9">
        <v>6.3768150895033067</v>
      </c>
      <c r="BD175" s="9">
        <v>6.1765902923790508</v>
      </c>
    </row>
    <row r="176" spans="3:56" x14ac:dyDescent="0.25">
      <c r="C176" s="111">
        <v>33.331200000000003</v>
      </c>
      <c r="F176" s="111">
        <v>14.734999999999999</v>
      </c>
      <c r="G176" s="112">
        <v>2</v>
      </c>
      <c r="J176" s="111">
        <v>2236.77</v>
      </c>
      <c r="K176" s="111">
        <v>1989.39</v>
      </c>
      <c r="L176" s="91">
        <v>8.1293483914602902</v>
      </c>
      <c r="M176" s="12">
        <v>305.9639548615159</v>
      </c>
      <c r="N176" s="11">
        <v>11.662255255265775</v>
      </c>
      <c r="O176" s="11">
        <v>1802.5657195287663</v>
      </c>
      <c r="P176" s="11">
        <v>175.16202521596807</v>
      </c>
      <c r="Q176" s="11">
        <v>4.2193833663953049</v>
      </c>
      <c r="R176" s="11">
        <v>2.7001813181449199</v>
      </c>
      <c r="S176" s="13">
        <v>10.670285170332372</v>
      </c>
      <c r="T176" s="14">
        <v>1024.7523683762365</v>
      </c>
      <c r="U176" s="91">
        <v>8.2849770584714211</v>
      </c>
      <c r="V176" s="12">
        <v>200.03871888465781</v>
      </c>
      <c r="W176" s="11">
        <v>10.531253956934757</v>
      </c>
      <c r="X176" s="11">
        <v>1807.9290189416424</v>
      </c>
      <c r="Y176" s="11">
        <v>170.92972710142288</v>
      </c>
      <c r="Z176" s="11">
        <v>4.1166650775136366</v>
      </c>
      <c r="AA176" s="11">
        <v>2.5914827434859582</v>
      </c>
      <c r="AB176" s="13">
        <v>10.79180056768063</v>
      </c>
      <c r="AC176" s="14">
        <v>1026.3524439934033</v>
      </c>
      <c r="AD176" s="15">
        <v>4</v>
      </c>
      <c r="AE176" s="9">
        <v>1.4188877232143109</v>
      </c>
      <c r="AF176" s="9">
        <v>5.9402398266115624</v>
      </c>
      <c r="AG176" s="9">
        <v>9.1417995411875204</v>
      </c>
      <c r="AH176" s="9">
        <v>13.6397348026968</v>
      </c>
      <c r="AI176" s="9">
        <v>8.7203553595422836</v>
      </c>
      <c r="AJ176" s="9">
        <v>2.5567574684531946</v>
      </c>
      <c r="AK176" s="9">
        <v>0.84326247629801931</v>
      </c>
      <c r="AL176" s="9">
        <v>1.6010953663480747</v>
      </c>
      <c r="AM176" s="9">
        <v>6.04529615914561</v>
      </c>
      <c r="AN176" s="9">
        <v>9.0111387297719094</v>
      </c>
      <c r="AO176" s="9">
        <v>9.5628058061778205</v>
      </c>
      <c r="AP176" s="9">
        <v>6.3908399976005255</v>
      </c>
      <c r="AQ176" s="9">
        <v>6.1969839392954524</v>
      </c>
      <c r="AR176" s="9">
        <v>1.2786339787863565</v>
      </c>
      <c r="AS176" s="9">
        <v>6.050275768552746</v>
      </c>
      <c r="AT176" s="9">
        <v>9.3093408348668856</v>
      </c>
      <c r="AU176" s="9">
        <v>14.071905793210982</v>
      </c>
      <c r="AV176" s="9">
        <v>8.8458536876767369</v>
      </c>
      <c r="AW176" s="9">
        <v>2.4728338929152205</v>
      </c>
      <c r="AX176" s="9">
        <v>0.66384719124627267</v>
      </c>
      <c r="AY176" s="9">
        <v>1.600791237777502</v>
      </c>
      <c r="AZ176" s="9">
        <v>6.1417667504228577</v>
      </c>
      <c r="BA176" s="9">
        <v>9.2472772825217984</v>
      </c>
      <c r="BB176" s="9">
        <v>9.7577211372815267</v>
      </c>
      <c r="BC176" s="9">
        <v>6.3907589049430049</v>
      </c>
      <c r="BD176" s="9">
        <v>6.1897616909639499</v>
      </c>
    </row>
    <row r="177" spans="3:56" x14ac:dyDescent="0.25">
      <c r="C177" s="111">
        <v>33.311599999999999</v>
      </c>
      <c r="F177" s="111">
        <v>13.675000000000001</v>
      </c>
      <c r="G177" s="112">
        <v>30</v>
      </c>
      <c r="J177" s="111">
        <v>2228.06</v>
      </c>
      <c r="K177" s="111">
        <v>2035.53</v>
      </c>
      <c r="L177" s="91">
        <v>8.0315844433821511</v>
      </c>
      <c r="M177" s="12">
        <v>395.70385059972216</v>
      </c>
      <c r="N177" s="11">
        <v>15.584462586142886</v>
      </c>
      <c r="O177" s="11">
        <v>1879.7785917637614</v>
      </c>
      <c r="P177" s="11">
        <v>140.16694565009553</v>
      </c>
      <c r="Q177" s="11">
        <v>3.3584943459551608</v>
      </c>
      <c r="R177" s="11">
        <v>2.1451343258026383</v>
      </c>
      <c r="S177" s="13">
        <v>12.166540794337363</v>
      </c>
      <c r="T177" s="14">
        <v>1025.0841355730868</v>
      </c>
      <c r="U177" s="91">
        <v>8.1700437055703503</v>
      </c>
      <c r="V177" s="12">
        <v>271.70632505717418</v>
      </c>
      <c r="W177" s="11">
        <v>14.30592421992354</v>
      </c>
      <c r="X177" s="11">
        <v>1884.5440413824069</v>
      </c>
      <c r="Y177" s="11">
        <v>136.68003439766929</v>
      </c>
      <c r="Z177" s="11">
        <v>3.2921359328008393</v>
      </c>
      <c r="AA177" s="11">
        <v>2.0723484765989357</v>
      </c>
      <c r="AB177" s="13">
        <v>12.330155323922018</v>
      </c>
      <c r="AC177" s="14">
        <v>1026.3369099377069</v>
      </c>
      <c r="AD177" s="15">
        <v>4</v>
      </c>
      <c r="AE177" s="9">
        <v>1.4046784457312078</v>
      </c>
      <c r="AF177" s="9">
        <v>5.9501695748196957</v>
      </c>
      <c r="AG177" s="9">
        <v>9.1590455328058749</v>
      </c>
      <c r="AH177" s="9">
        <v>13.684113817511081</v>
      </c>
      <c r="AI177" s="9">
        <v>8.7322149114171523</v>
      </c>
      <c r="AJ177" s="9">
        <v>2.5475364104248213</v>
      </c>
      <c r="AK177" s="9">
        <v>0.82399011219477647</v>
      </c>
      <c r="AL177" s="9">
        <v>1.6000067036978651</v>
      </c>
      <c r="AM177" s="9">
        <v>6.0538161009929619</v>
      </c>
      <c r="AN177" s="9">
        <v>9.0347528499110012</v>
      </c>
      <c r="AO177" s="9">
        <v>9.5815352020989746</v>
      </c>
      <c r="AP177" s="9">
        <v>6.3887854372649517</v>
      </c>
      <c r="AQ177" s="9">
        <v>6.1940953081516863</v>
      </c>
      <c r="AR177" s="9">
        <v>1.2785838282776316</v>
      </c>
      <c r="AS177" s="9">
        <v>6.0503533345071805</v>
      </c>
      <c r="AT177" s="9">
        <v>9.3095449174179628</v>
      </c>
      <c r="AU177" s="9">
        <v>14.07203109425631</v>
      </c>
      <c r="AV177" s="9">
        <v>8.8459624230642309</v>
      </c>
      <c r="AW177" s="9">
        <v>2.4729920723637133</v>
      </c>
      <c r="AX177" s="9">
        <v>0.66405851853446474</v>
      </c>
      <c r="AY177" s="9">
        <v>1.6008412567746895</v>
      </c>
      <c r="AZ177" s="9">
        <v>6.1418615521517479</v>
      </c>
      <c r="BA177" s="9">
        <v>9.2471695248227359</v>
      </c>
      <c r="BB177" s="9">
        <v>9.7577664439685208</v>
      </c>
      <c r="BC177" s="9">
        <v>6.3910591051596359</v>
      </c>
      <c r="BD177" s="9">
        <v>6.1900441323417983</v>
      </c>
    </row>
    <row r="178" spans="3:56" x14ac:dyDescent="0.25">
      <c r="C178" s="111">
        <v>33.447099999999999</v>
      </c>
      <c r="F178" s="111">
        <v>10.313000000000001</v>
      </c>
      <c r="G178" s="112">
        <v>50</v>
      </c>
      <c r="J178" s="111">
        <v>2223.9899999999998</v>
      </c>
      <c r="K178" s="111">
        <v>2119.86</v>
      </c>
      <c r="L178" s="91">
        <v>7.8540082396794171</v>
      </c>
      <c r="M178" s="12">
        <v>619.06685817105244</v>
      </c>
      <c r="N178" s="11">
        <v>27.12656200245587</v>
      </c>
      <c r="O178" s="11">
        <v>2005.2577232776625</v>
      </c>
      <c r="P178" s="11">
        <v>87.475714719881552</v>
      </c>
      <c r="Q178" s="11">
        <v>2.0840427526341405</v>
      </c>
      <c r="R178" s="11">
        <v>1.3233927861147117</v>
      </c>
      <c r="S178" s="13">
        <v>15.734756119699584</v>
      </c>
      <c r="T178" s="14">
        <v>1025.9131657189962</v>
      </c>
      <c r="U178" s="91">
        <v>7.9379315113375384</v>
      </c>
      <c r="V178" s="12">
        <v>493.89589766873473</v>
      </c>
      <c r="W178" s="11">
        <v>25.983932947454669</v>
      </c>
      <c r="X178" s="11">
        <v>2008.2485875430471</v>
      </c>
      <c r="Y178" s="11">
        <v>85.627479509498215</v>
      </c>
      <c r="Z178" s="11">
        <v>2.0609901478501831</v>
      </c>
      <c r="AA178" s="11">
        <v>1.297724844210558</v>
      </c>
      <c r="AB178" s="13">
        <v>15.968705055189346</v>
      </c>
      <c r="AC178" s="14">
        <v>1026.4443032159229</v>
      </c>
      <c r="AD178" s="15">
        <v>4</v>
      </c>
      <c r="AE178" s="9">
        <v>1.3583427994870509</v>
      </c>
      <c r="AF178" s="9">
        <v>5.9852327971065904</v>
      </c>
      <c r="AG178" s="9">
        <v>9.2142909378156226</v>
      </c>
      <c r="AH178" s="9">
        <v>13.828740821632081</v>
      </c>
      <c r="AI178" s="9">
        <v>8.7728642348067964</v>
      </c>
      <c r="AJ178" s="9">
        <v>2.5175185736979393</v>
      </c>
      <c r="AK178" s="9">
        <v>0.76162935130447706</v>
      </c>
      <c r="AL178" s="9">
        <v>1.5982602370913974</v>
      </c>
      <c r="AM178" s="9">
        <v>6.0839717184582867</v>
      </c>
      <c r="AN178" s="9">
        <v>9.1146572574601805</v>
      </c>
      <c r="AO178" s="9">
        <v>9.6456496544000743</v>
      </c>
      <c r="AP178" s="9">
        <v>6.3845425742681252</v>
      </c>
      <c r="AQ178" s="9">
        <v>6.1873247132625933</v>
      </c>
      <c r="AR178" s="9">
        <v>1.2789305320496862</v>
      </c>
      <c r="AS178" s="9">
        <v>6.0498189280021384</v>
      </c>
      <c r="AT178" s="9">
        <v>9.30813582100137</v>
      </c>
      <c r="AU178" s="9">
        <v>14.071166431574035</v>
      </c>
      <c r="AV178" s="9">
        <v>8.8452121458500219</v>
      </c>
      <c r="AW178" s="9">
        <v>2.4718994375219894</v>
      </c>
      <c r="AX178" s="9">
        <v>0.66259435748835294</v>
      </c>
      <c r="AY178" s="9">
        <v>1.6004968246535833</v>
      </c>
      <c r="AZ178" s="9">
        <v>6.1412096140179351</v>
      </c>
      <c r="BA178" s="9">
        <v>9.2479271972008412</v>
      </c>
      <c r="BB178" s="9">
        <v>9.7574543974944952</v>
      </c>
      <c r="BC178" s="9">
        <v>6.3889862050876456</v>
      </c>
      <c r="BD178" s="9">
        <v>6.1880929083980645</v>
      </c>
    </row>
    <row r="179" spans="3:56" x14ac:dyDescent="0.25">
      <c r="C179" s="111">
        <v>33.869999999999997</v>
      </c>
      <c r="F179" s="111">
        <v>9.5299999999999994</v>
      </c>
      <c r="G179" s="112">
        <v>100</v>
      </c>
      <c r="J179" s="111">
        <v>2248.4299999999998</v>
      </c>
      <c r="K179" s="111">
        <v>2182.17</v>
      </c>
      <c r="L179" s="91">
        <v>7.740724625365087</v>
      </c>
      <c r="M179" s="12">
        <v>822.15513689974807</v>
      </c>
      <c r="N179" s="11">
        <v>36.881784479895146</v>
      </c>
      <c r="O179" s="11">
        <v>2076.7080034008568</v>
      </c>
      <c r="P179" s="11">
        <v>68.580212119247747</v>
      </c>
      <c r="Q179" s="11">
        <v>1.614552580767447</v>
      </c>
      <c r="R179" s="11">
        <v>1.0253572157342639</v>
      </c>
      <c r="S179" s="13">
        <v>17.415051007846625</v>
      </c>
      <c r="T179" s="14">
        <v>1026.6019176630648</v>
      </c>
      <c r="U179" s="91">
        <v>7.8128174754130706</v>
      </c>
      <c r="V179" s="12">
        <v>681.21958187628627</v>
      </c>
      <c r="W179" s="11">
        <v>35.749874155925689</v>
      </c>
      <c r="X179" s="11">
        <v>2079.2824634491717</v>
      </c>
      <c r="Y179" s="11">
        <v>67.137662394902236</v>
      </c>
      <c r="Z179" s="11">
        <v>1.6123247561731713</v>
      </c>
      <c r="AA179" s="11">
        <v>1.01606734127183</v>
      </c>
      <c r="AB179" s="13">
        <v>17.697079960589878</v>
      </c>
      <c r="AC179" s="14">
        <v>1026.7795149504616</v>
      </c>
      <c r="AD179" s="15">
        <v>4</v>
      </c>
      <c r="AE179" s="9">
        <v>1.348141848951955</v>
      </c>
      <c r="AF179" s="9">
        <v>5.9901611144325244</v>
      </c>
      <c r="AG179" s="9">
        <v>9.2219012379353416</v>
      </c>
      <c r="AH179" s="9">
        <v>13.858865370453548</v>
      </c>
      <c r="AI179" s="9">
        <v>8.777964636775021</v>
      </c>
      <c r="AJ179" s="9">
        <v>2.5064558082103479</v>
      </c>
      <c r="AK179" s="9">
        <v>0.74143155369779179</v>
      </c>
      <c r="AL179" s="9">
        <v>1.5958226550226331</v>
      </c>
      <c r="AM179" s="9">
        <v>6.0875728483432319</v>
      </c>
      <c r="AN179" s="9">
        <v>9.1334290721041551</v>
      </c>
      <c r="AO179" s="9">
        <v>9.6577047144094603</v>
      </c>
      <c r="AP179" s="9">
        <v>6.3739200909652807</v>
      </c>
      <c r="AQ179" s="9">
        <v>6.1767430898336757</v>
      </c>
      <c r="AR179" s="9">
        <v>1.2800126060364165</v>
      </c>
      <c r="AS179" s="9">
        <v>6.0481785020143288</v>
      </c>
      <c r="AT179" s="9">
        <v>9.3037647503087904</v>
      </c>
      <c r="AU179" s="9">
        <v>14.068491309584232</v>
      </c>
      <c r="AV179" s="9">
        <v>8.8428920462857903</v>
      </c>
      <c r="AW179" s="9">
        <v>2.468502733115562</v>
      </c>
      <c r="AX179" s="9">
        <v>0.65797553566553268</v>
      </c>
      <c r="AY179" s="9">
        <v>1.599442164211323</v>
      </c>
      <c r="AZ179" s="9">
        <v>6.1392263764659685</v>
      </c>
      <c r="BA179" s="9">
        <v>9.2504815808417113</v>
      </c>
      <c r="BB179" s="9">
        <v>9.7564979489965022</v>
      </c>
      <c r="BC179" s="9">
        <v>6.3825530283366447</v>
      </c>
      <c r="BD179" s="9">
        <v>6.182022998369292</v>
      </c>
    </row>
    <row r="180" spans="3:56" x14ac:dyDescent="0.25">
      <c r="C180" s="111">
        <v>34.101700000000001</v>
      </c>
      <c r="F180" s="111">
        <v>9.1080000000000005</v>
      </c>
      <c r="G180" s="112">
        <v>170</v>
      </c>
      <c r="J180" s="111">
        <v>2267.5700000000002</v>
      </c>
      <c r="K180" s="111">
        <v>2222.94</v>
      </c>
      <c r="L180" s="91">
        <v>7.6701434851046839</v>
      </c>
      <c r="M180" s="12">
        <v>976.33927142168363</v>
      </c>
      <c r="N180" s="11">
        <v>44.361503105112611</v>
      </c>
      <c r="O180" s="11">
        <v>2119.4703857506934</v>
      </c>
      <c r="P180" s="11">
        <v>59.108111144194325</v>
      </c>
      <c r="Q180" s="11">
        <v>1.3715064778257313</v>
      </c>
      <c r="R180" s="11">
        <v>0.87150488260601633</v>
      </c>
      <c r="S180" s="13">
        <v>18.162327474598275</v>
      </c>
      <c r="T180" s="14">
        <v>1027.169719063324</v>
      </c>
      <c r="U180" s="91">
        <v>7.7375686279733564</v>
      </c>
      <c r="V180" s="12">
        <v>826.08092446894443</v>
      </c>
      <c r="W180" s="11">
        <v>43.292945733281371</v>
      </c>
      <c r="X180" s="11">
        <v>2121.7215377275406</v>
      </c>
      <c r="Y180" s="11">
        <v>57.925516539178233</v>
      </c>
      <c r="Z180" s="11">
        <v>1.3893613796748576</v>
      </c>
      <c r="AA180" s="11">
        <v>0.87593850044354593</v>
      </c>
      <c r="AB180" s="13">
        <v>18.450686046783186</v>
      </c>
      <c r="AC180" s="14">
        <v>1026.9631938584694</v>
      </c>
      <c r="AD180" s="15">
        <v>4</v>
      </c>
      <c r="AE180" s="9">
        <v>1.3425945053773671</v>
      </c>
      <c r="AF180" s="9">
        <v>5.9909223852958009</v>
      </c>
      <c r="AG180" s="9">
        <v>9.2247237566038827</v>
      </c>
      <c r="AH180" s="9">
        <v>13.873692029677015</v>
      </c>
      <c r="AI180" s="9">
        <v>8.778482940470866</v>
      </c>
      <c r="AJ180" s="9">
        <v>2.4996683962507968</v>
      </c>
      <c r="AK180" s="9">
        <v>0.72895621707475911</v>
      </c>
      <c r="AL180" s="9">
        <v>1.5934750562302755</v>
      </c>
      <c r="AM180" s="9">
        <v>6.0878661189676935</v>
      </c>
      <c r="AN180" s="9">
        <v>9.141794539372631</v>
      </c>
      <c r="AO180" s="9">
        <v>9.6620130637747845</v>
      </c>
      <c r="AP180" s="9">
        <v>6.3646566709207795</v>
      </c>
      <c r="AQ180" s="9">
        <v>6.1677286323266358</v>
      </c>
      <c r="AR180" s="9">
        <v>1.2806054566931329</v>
      </c>
      <c r="AS180" s="9">
        <v>6.0472973800489314</v>
      </c>
      <c r="AT180" s="9">
        <v>9.3013870977147217</v>
      </c>
      <c r="AU180" s="9">
        <v>14.067040583446623</v>
      </c>
      <c r="AV180" s="9">
        <v>8.8416346413010043</v>
      </c>
      <c r="AW180" s="9">
        <v>2.4666502649544491</v>
      </c>
      <c r="AX180" s="9">
        <v>0.65541245643123636</v>
      </c>
      <c r="AY180" s="9">
        <v>1.5988772341413395</v>
      </c>
      <c r="AZ180" s="9">
        <v>6.1381724736816237</v>
      </c>
      <c r="BA180" s="9">
        <v>9.2520014811921012</v>
      </c>
      <c r="BB180" s="9">
        <v>9.7559850057240585</v>
      </c>
      <c r="BC180" s="9">
        <v>6.3790511963491827</v>
      </c>
      <c r="BD180" s="9">
        <v>6.1787095892692863</v>
      </c>
    </row>
    <row r="181" spans="3:56" x14ac:dyDescent="0.25">
      <c r="C181" s="111">
        <v>34.180500000000002</v>
      </c>
      <c r="F181" s="111">
        <v>8.7859999999999996</v>
      </c>
      <c r="G181" s="112">
        <v>230</v>
      </c>
      <c r="J181" s="111">
        <v>2275.64</v>
      </c>
      <c r="K181" s="111">
        <v>2240.5700000000002</v>
      </c>
      <c r="L181" s="91">
        <v>7.6394711545602947</v>
      </c>
      <c r="M181" s="12">
        <v>1047.3181710849015</v>
      </c>
      <c r="N181" s="11">
        <v>48.082975309923221</v>
      </c>
      <c r="O181" s="11">
        <v>2137.3245489275614</v>
      </c>
      <c r="P181" s="11">
        <v>55.162475762515363</v>
      </c>
      <c r="Q181" s="11">
        <v>1.26491904222924</v>
      </c>
      <c r="R181" s="11">
        <v>0.80405249285022085</v>
      </c>
      <c r="S181" s="13">
        <v>18.415258081369032</v>
      </c>
      <c r="T181" s="14">
        <v>1027.5555942787621</v>
      </c>
      <c r="U181" s="91">
        <v>7.704116449720126</v>
      </c>
      <c r="V181" s="12">
        <v>899.41243014949316</v>
      </c>
      <c r="W181" s="11">
        <v>47.1141980426397</v>
      </c>
      <c r="X181" s="11">
        <v>2139.2803053459925</v>
      </c>
      <c r="Y181" s="11">
        <v>54.175496611367862</v>
      </c>
      <c r="Z181" s="11">
        <v>1.2988626449430785</v>
      </c>
      <c r="AA181" s="11">
        <v>0.81900016342447057</v>
      </c>
      <c r="AB181" s="13">
        <v>18.683359014687625</v>
      </c>
      <c r="AC181" s="14">
        <v>1027.0256656864253</v>
      </c>
      <c r="AD181" s="15">
        <v>4</v>
      </c>
      <c r="AE181" s="9">
        <v>1.3380873052706772</v>
      </c>
      <c r="AF181" s="9">
        <v>5.9915920139302115</v>
      </c>
      <c r="AG181" s="9">
        <v>9.2276978789422675</v>
      </c>
      <c r="AH181" s="9">
        <v>13.885471371257772</v>
      </c>
      <c r="AI181" s="9">
        <v>8.7790764497123916</v>
      </c>
      <c r="AJ181" s="9">
        <v>2.4951480278938782</v>
      </c>
      <c r="AK181" s="9">
        <v>0.72014170527798083</v>
      </c>
      <c r="AL181" s="9">
        <v>1.5917897245689046</v>
      </c>
      <c r="AM181" s="9">
        <v>6.0883276649493201</v>
      </c>
      <c r="AN181" s="9">
        <v>9.1473755877609371</v>
      </c>
      <c r="AO181" s="9">
        <v>9.6651966700028566</v>
      </c>
      <c r="AP181" s="9">
        <v>6.3585224880340121</v>
      </c>
      <c r="AQ181" s="9">
        <v>6.1617441602353491</v>
      </c>
      <c r="AR181" s="9">
        <v>1.2808070822078035</v>
      </c>
      <c r="AS181" s="9">
        <v>6.0470005598840109</v>
      </c>
      <c r="AT181" s="9">
        <v>9.3005812416377207</v>
      </c>
      <c r="AU181" s="9">
        <v>14.066549581279533</v>
      </c>
      <c r="AV181" s="9">
        <v>8.8412092067491113</v>
      </c>
      <c r="AW181" s="9">
        <v>2.4660216106069246</v>
      </c>
      <c r="AX181" s="9">
        <v>0.65453538202708483</v>
      </c>
      <c r="AY181" s="9">
        <v>1.5986871630594139</v>
      </c>
      <c r="AZ181" s="9">
        <v>6.1378192618877856</v>
      </c>
      <c r="BA181" s="9">
        <v>9.2525376044570056</v>
      </c>
      <c r="BB181" s="9">
        <v>9.7558123238332275</v>
      </c>
      <c r="BC181" s="9">
        <v>6.377863832811153</v>
      </c>
      <c r="BD181" s="9">
        <v>6.1775845944826298</v>
      </c>
    </row>
    <row r="182" spans="3:56" x14ac:dyDescent="0.25">
      <c r="C182" s="111">
        <v>34.219499999999996</v>
      </c>
      <c r="F182" s="111">
        <v>7.71</v>
      </c>
      <c r="G182" s="112">
        <v>320</v>
      </c>
      <c r="J182" s="111">
        <v>2290.1799999999998</v>
      </c>
      <c r="K182" s="111">
        <v>2269.84</v>
      </c>
      <c r="L182" s="91">
        <v>7.6009332706624626</v>
      </c>
      <c r="M182" s="12">
        <v>1139.7102366032293</v>
      </c>
      <c r="N182" s="11">
        <v>54.264829427308761</v>
      </c>
      <c r="O182" s="11">
        <v>2166.215130292167</v>
      </c>
      <c r="P182" s="11">
        <v>49.360040280523975</v>
      </c>
      <c r="Q182" s="11">
        <v>1.1118672007309065</v>
      </c>
      <c r="R182" s="11">
        <v>0.70641639964162839</v>
      </c>
      <c r="S182" s="13">
        <v>18.731372753462548</v>
      </c>
      <c r="T182" s="14">
        <v>1028.1633971740985</v>
      </c>
      <c r="U182" s="91">
        <v>7.6532047772302247</v>
      </c>
      <c r="V182" s="12">
        <v>1024.4278035656359</v>
      </c>
      <c r="W182" s="11">
        <v>53.650587921488075</v>
      </c>
      <c r="X182" s="11">
        <v>2167.330147615708</v>
      </c>
      <c r="Y182" s="11">
        <v>48.859264462803743</v>
      </c>
      <c r="Z182" s="11">
        <v>1.1711580579785681</v>
      </c>
      <c r="AA182" s="11">
        <v>0.73852775004421278</v>
      </c>
      <c r="AB182" s="13">
        <v>18.905968228931915</v>
      </c>
      <c r="AC182" s="14">
        <v>1027.0565851554138</v>
      </c>
      <c r="AD182" s="15">
        <v>4</v>
      </c>
      <c r="AE182" s="9">
        <v>1.3222760068065336</v>
      </c>
      <c r="AF182" s="9">
        <v>5.9997501279650933</v>
      </c>
      <c r="AG182" s="9">
        <v>9.2432593501401232</v>
      </c>
      <c r="AH182" s="9">
        <v>13.930484503604017</v>
      </c>
      <c r="AI182" s="9">
        <v>8.7880851082212246</v>
      </c>
      <c r="AJ182" s="9">
        <v>2.4838062770447817</v>
      </c>
      <c r="AK182" s="9">
        <v>0.69631584306593486</v>
      </c>
      <c r="AL182" s="9">
        <v>1.5895309684449519</v>
      </c>
      <c r="AM182" s="9">
        <v>6.0955007124476257</v>
      </c>
      <c r="AN182" s="9">
        <v>9.169910027216666</v>
      </c>
      <c r="AO182" s="9">
        <v>9.6822358855622088</v>
      </c>
      <c r="AP182" s="9">
        <v>6.3502856725959385</v>
      </c>
      <c r="AQ182" s="9">
        <v>6.1532935264924449</v>
      </c>
      <c r="AR182" s="9">
        <v>1.2809068714853691</v>
      </c>
      <c r="AS182" s="9">
        <v>6.0468541906260427</v>
      </c>
      <c r="AT182" s="9">
        <v>9.3001829245797563</v>
      </c>
      <c r="AU182" s="9">
        <v>14.066307017655538</v>
      </c>
      <c r="AV182" s="9">
        <v>8.8409990613835365</v>
      </c>
      <c r="AW182" s="9">
        <v>2.4657107287097686</v>
      </c>
      <c r="AX182" s="9">
        <v>0.65410027351538713</v>
      </c>
      <c r="AY182" s="9">
        <v>1.5985934769423351</v>
      </c>
      <c r="AZ182" s="9">
        <v>6.1376454231868536</v>
      </c>
      <c r="BA182" s="9">
        <v>9.2528065337534056</v>
      </c>
      <c r="BB182" s="9">
        <v>9.7557271895871729</v>
      </c>
      <c r="BC182" s="9">
        <v>6.3772768450993977</v>
      </c>
      <c r="BD182" s="9">
        <v>6.1770281527390907</v>
      </c>
    </row>
    <row r="183" spans="3:56" x14ac:dyDescent="0.25">
      <c r="C183" s="111">
        <v>34.324300000000001</v>
      </c>
      <c r="F183" s="111">
        <v>6.3360000000000003</v>
      </c>
      <c r="G183" s="112">
        <v>514</v>
      </c>
      <c r="J183" s="111">
        <v>2320.16</v>
      </c>
      <c r="K183" s="111">
        <v>2316.77</v>
      </c>
      <c r="L183" s="91">
        <v>7.5544322154839803</v>
      </c>
      <c r="M183" s="12">
        <v>1254.4717987319225</v>
      </c>
      <c r="N183" s="11">
        <v>62.612068990849956</v>
      </c>
      <c r="O183" s="11">
        <v>2210.6447171880504</v>
      </c>
      <c r="P183" s="11">
        <v>43.513213821099129</v>
      </c>
      <c r="Q183" s="11">
        <v>0.94270534793528049</v>
      </c>
      <c r="R183" s="11">
        <v>0.59929748812862005</v>
      </c>
      <c r="S183" s="13">
        <v>18.890282113711987</v>
      </c>
      <c r="T183" s="14">
        <v>1029.3304942662019</v>
      </c>
      <c r="U183" s="91">
        <v>7.5949232607234896</v>
      </c>
      <c r="V183" s="12">
        <v>1194.5859800449309</v>
      </c>
      <c r="W183" s="11">
        <v>62.523371711076237</v>
      </c>
      <c r="X183" s="11">
        <v>2210.5636734330496</v>
      </c>
      <c r="Y183" s="11">
        <v>43.682954855873646</v>
      </c>
      <c r="Z183" s="11">
        <v>1.0464860749733609</v>
      </c>
      <c r="AA183" s="11">
        <v>0.66003321002303161</v>
      </c>
      <c r="AB183" s="13">
        <v>18.915909481293465</v>
      </c>
      <c r="AC183" s="14">
        <v>1027.1396735244409</v>
      </c>
      <c r="AD183" s="15">
        <v>4</v>
      </c>
      <c r="AE183" s="9">
        <v>1.3018028474533336</v>
      </c>
      <c r="AF183" s="9">
        <v>6.0065713198576063</v>
      </c>
      <c r="AG183" s="9">
        <v>9.2603300054002649</v>
      </c>
      <c r="AH183" s="9">
        <v>13.985428449446145</v>
      </c>
      <c r="AI183" s="9">
        <v>8.7951820219081309</v>
      </c>
      <c r="AJ183" s="9">
        <v>2.4673470041901862</v>
      </c>
      <c r="AK183" s="9">
        <v>0.66223009298381719</v>
      </c>
      <c r="AL183" s="9">
        <v>1.5845941781113979</v>
      </c>
      <c r="AM183" s="9">
        <v>6.1014632967118541</v>
      </c>
      <c r="AN183" s="9">
        <v>9.195528190129977</v>
      </c>
      <c r="AO183" s="9">
        <v>9.6999836354896072</v>
      </c>
      <c r="AP183" s="9">
        <v>6.3320350393993676</v>
      </c>
      <c r="AQ183" s="9">
        <v>6.1353015259890569</v>
      </c>
      <c r="AR183" s="9">
        <v>1.281175023185084</v>
      </c>
      <c r="AS183" s="9">
        <v>6.0464626220819886</v>
      </c>
      <c r="AT183" s="9">
        <v>9.2991142818649806</v>
      </c>
      <c r="AU183" s="9">
        <v>14.065656660847017</v>
      </c>
      <c r="AV183" s="9">
        <v>8.8404357131482847</v>
      </c>
      <c r="AW183" s="9">
        <v>2.464876164072527</v>
      </c>
      <c r="AX183" s="9">
        <v>0.65292767561195209</v>
      </c>
      <c r="AY183" s="9">
        <v>1.5983429830133287</v>
      </c>
      <c r="AZ183" s="9">
        <v>6.1371814727992966</v>
      </c>
      <c r="BA183" s="9">
        <v>9.2535409300420888</v>
      </c>
      <c r="BB183" s="9">
        <v>9.7554994979298435</v>
      </c>
      <c r="BC183" s="9">
        <v>6.3757016754148506</v>
      </c>
      <c r="BD183" s="9">
        <v>6.1755340095404341</v>
      </c>
    </row>
    <row r="184" spans="3:56" x14ac:dyDescent="0.25">
      <c r="C184" s="111">
        <v>33.323</v>
      </c>
      <c r="F184" s="111">
        <v>16.163</v>
      </c>
      <c r="G184" s="112">
        <v>2</v>
      </c>
      <c r="J184" s="111">
        <v>2227.3000000000002</v>
      </c>
      <c r="K184" s="111">
        <v>2000.45</v>
      </c>
      <c r="L184" s="91">
        <v>8.0676271547276226</v>
      </c>
      <c r="M184" s="12">
        <v>360.4299892072753</v>
      </c>
      <c r="N184" s="11">
        <v>13.160907843476652</v>
      </c>
      <c r="O184" s="11">
        <v>1824.7797144324422</v>
      </c>
      <c r="P184" s="11">
        <v>162.50937772408119</v>
      </c>
      <c r="Q184" s="11">
        <v>3.9186408030847</v>
      </c>
      <c r="R184" s="11">
        <v>2.5155463343212383</v>
      </c>
      <c r="S184" s="13">
        <v>11.12541611962688</v>
      </c>
      <c r="T184" s="14">
        <v>1024.4307228345233</v>
      </c>
      <c r="U184" s="91">
        <v>8.2447795028161632</v>
      </c>
      <c r="V184" s="12">
        <v>222.24099128835772</v>
      </c>
      <c r="W184" s="11">
        <v>11.700681778792019</v>
      </c>
      <c r="X184" s="11">
        <v>1830.9752008734115</v>
      </c>
      <c r="Y184" s="11">
        <v>157.77411734779642</v>
      </c>
      <c r="Z184" s="11">
        <v>3.7999896875600223</v>
      </c>
      <c r="AA184" s="11">
        <v>2.3920914614251623</v>
      </c>
      <c r="AB184" s="13">
        <v>11.289992088616151</v>
      </c>
      <c r="AC184" s="14">
        <v>1026.3459450384807</v>
      </c>
      <c r="AD184" s="15">
        <v>4</v>
      </c>
      <c r="AE184" s="9">
        <v>1.4375350707586154</v>
      </c>
      <c r="AF184" s="9">
        <v>5.9257025584412721</v>
      </c>
      <c r="AG184" s="9">
        <v>9.1179591717693675</v>
      </c>
      <c r="AH184" s="9">
        <v>13.579595511248106</v>
      </c>
      <c r="AI184" s="9">
        <v>8.7028318766730166</v>
      </c>
      <c r="AJ184" s="9">
        <v>2.5686643222750472</v>
      </c>
      <c r="AK184" s="9">
        <v>0.86797341772599657</v>
      </c>
      <c r="AL184" s="9">
        <v>1.6019458317415345</v>
      </c>
      <c r="AM184" s="9">
        <v>6.0329211563314002</v>
      </c>
      <c r="AN184" s="9">
        <v>8.9778264676744861</v>
      </c>
      <c r="AO184" s="9">
        <v>9.5361639209235349</v>
      </c>
      <c r="AP184" s="9">
        <v>6.3913948543583619</v>
      </c>
      <c r="AQ184" s="9">
        <v>6.1988917191600361</v>
      </c>
      <c r="AR184" s="9">
        <v>1.2786129974510738</v>
      </c>
      <c r="AS184" s="9">
        <v>6.0503082087365696</v>
      </c>
      <c r="AT184" s="9">
        <v>9.3094262057440336</v>
      </c>
      <c r="AU184" s="9">
        <v>14.071958205674258</v>
      </c>
      <c r="AV184" s="9">
        <v>8.8458991704350147</v>
      </c>
      <c r="AW184" s="9">
        <v>2.4729000646539894</v>
      </c>
      <c r="AX184" s="9">
        <v>0.66393562263440498</v>
      </c>
      <c r="AY184" s="9">
        <v>1.6008121559674782</v>
      </c>
      <c r="AZ184" s="9">
        <v>6.1418063917883057</v>
      </c>
      <c r="BA184" s="9">
        <v>9.2472321243939213</v>
      </c>
      <c r="BB184" s="9">
        <v>9.757740085138277</v>
      </c>
      <c r="BC184" s="9">
        <v>6.3908844841879411</v>
      </c>
      <c r="BD184" s="9">
        <v>6.1898798470096059</v>
      </c>
    </row>
    <row r="185" spans="3:56" x14ac:dyDescent="0.25">
      <c r="C185" s="111">
        <v>33.28</v>
      </c>
      <c r="F185" s="111">
        <v>13.055999999999999</v>
      </c>
      <c r="G185" s="112">
        <v>30</v>
      </c>
      <c r="J185" s="111">
        <v>2223.1</v>
      </c>
      <c r="K185" s="111">
        <v>2057.14</v>
      </c>
      <c r="L185" s="91">
        <v>7.9801394644533943</v>
      </c>
      <c r="M185" s="12">
        <v>452.00434074331531</v>
      </c>
      <c r="N185" s="11">
        <v>18.152364183414775</v>
      </c>
      <c r="O185" s="11">
        <v>1915.2456004738922</v>
      </c>
      <c r="P185" s="11">
        <v>123.74203534269279</v>
      </c>
      <c r="Q185" s="11">
        <v>2.9645646938681938</v>
      </c>
      <c r="R185" s="11">
        <v>1.8910485062035212</v>
      </c>
      <c r="S185" s="13">
        <v>13.074880850578134</v>
      </c>
      <c r="T185" s="14">
        <v>1025.1845229927408</v>
      </c>
      <c r="U185" s="91">
        <v>8.1080428901774813</v>
      </c>
      <c r="V185" s="12">
        <v>319.28191361082446</v>
      </c>
      <c r="W185" s="11">
        <v>16.814011663623035</v>
      </c>
      <c r="X185" s="11">
        <v>1919.710129183459</v>
      </c>
      <c r="Y185" s="11">
        <v>120.61585915291769</v>
      </c>
      <c r="Z185" s="11">
        <v>2.9056892749486334</v>
      </c>
      <c r="AA185" s="11">
        <v>1.8289652462841883</v>
      </c>
      <c r="AB185" s="13">
        <v>13.268368117700549</v>
      </c>
      <c r="AC185" s="14">
        <v>1026.3118654649365</v>
      </c>
      <c r="AD185" s="15">
        <v>4</v>
      </c>
      <c r="AE185" s="9">
        <v>1.396209409465432</v>
      </c>
      <c r="AF185" s="9">
        <v>5.9568481870977008</v>
      </c>
      <c r="AG185" s="9">
        <v>9.1698466827082665</v>
      </c>
      <c r="AH185" s="9">
        <v>13.710927480001374</v>
      </c>
      <c r="AI185" s="9">
        <v>8.7401245228913602</v>
      </c>
      <c r="AJ185" s="9">
        <v>2.5425839780168547</v>
      </c>
      <c r="AK185" s="9">
        <v>0.8133234090702306</v>
      </c>
      <c r="AL185" s="9">
        <v>1.599858788025954</v>
      </c>
      <c r="AM185" s="9">
        <v>6.059634863509995</v>
      </c>
      <c r="AN185" s="9">
        <v>9.0492717900827255</v>
      </c>
      <c r="AO185" s="9">
        <v>9.5934630538200274</v>
      </c>
      <c r="AP185" s="9">
        <v>6.389142277884452</v>
      </c>
      <c r="AQ185" s="9">
        <v>6.19388401458649</v>
      </c>
      <c r="AR185" s="9">
        <v>1.2785029733758091</v>
      </c>
      <c r="AS185" s="9">
        <v>6.0504785781103294</v>
      </c>
      <c r="AT185" s="9">
        <v>9.30987413190479</v>
      </c>
      <c r="AU185" s="9">
        <v>14.072233273069855</v>
      </c>
      <c r="AV185" s="9">
        <v>8.8461378796484489</v>
      </c>
      <c r="AW185" s="9">
        <v>2.4732471895059298</v>
      </c>
      <c r="AX185" s="9">
        <v>0.66439890243543553</v>
      </c>
      <c r="AY185" s="9">
        <v>1.600922040366255</v>
      </c>
      <c r="AZ185" s="9">
        <v>6.1420147522178352</v>
      </c>
      <c r="BA185" s="9">
        <v>9.2469971062265088</v>
      </c>
      <c r="BB185" s="9">
        <v>9.7578396103601452</v>
      </c>
      <c r="BC185" s="9">
        <v>6.3915433566033863</v>
      </c>
      <c r="BD185" s="9">
        <v>6.1904996393693308</v>
      </c>
    </row>
    <row r="186" spans="3:56" x14ac:dyDescent="0.25">
      <c r="C186" s="111">
        <v>33.345599999999997</v>
      </c>
      <c r="F186" s="111">
        <v>10.837</v>
      </c>
      <c r="G186" s="112">
        <v>50</v>
      </c>
      <c r="J186" s="111">
        <v>2222.48</v>
      </c>
      <c r="K186" s="111">
        <v>2103.04</v>
      </c>
      <c r="L186" s="91">
        <v>7.8913099082895881</v>
      </c>
      <c r="M186" s="12">
        <v>564.03132836582097</v>
      </c>
      <c r="N186" s="11">
        <v>24.308651376465459</v>
      </c>
      <c r="O186" s="11">
        <v>1982.7444319474153</v>
      </c>
      <c r="P186" s="11">
        <v>95.986916676119407</v>
      </c>
      <c r="Q186" s="11">
        <v>2.2885006997612787</v>
      </c>
      <c r="R186" s="11">
        <v>1.4542623617581367</v>
      </c>
      <c r="S186" s="13">
        <v>15.033181296388781</v>
      </c>
      <c r="T186" s="14">
        <v>1025.7425792873603</v>
      </c>
      <c r="U186" s="91">
        <v>7.9839230136106112</v>
      </c>
      <c r="V186" s="12">
        <v>439.48577537292209</v>
      </c>
      <c r="W186" s="11">
        <v>23.135239458740543</v>
      </c>
      <c r="X186" s="11">
        <v>1985.9951075603808</v>
      </c>
      <c r="Y186" s="11">
        <v>93.909652980878803</v>
      </c>
      <c r="Z186" s="11">
        <v>2.2615452420562621</v>
      </c>
      <c r="AA186" s="11">
        <v>1.4237085047945131</v>
      </c>
      <c r="AB186" s="13">
        <v>15.252957232910262</v>
      </c>
      <c r="AC186" s="14">
        <v>1026.3638568384515</v>
      </c>
      <c r="AD186" s="15">
        <v>4</v>
      </c>
      <c r="AE186" s="9">
        <v>1.365542361740411</v>
      </c>
      <c r="AF186" s="9">
        <v>5.9798040345670351</v>
      </c>
      <c r="AG186" s="9">
        <v>9.2063646058852537</v>
      </c>
      <c r="AH186" s="9">
        <v>13.806342029437209</v>
      </c>
      <c r="AI186" s="9">
        <v>8.7667457522779522</v>
      </c>
      <c r="AJ186" s="9">
        <v>2.5228325806149043</v>
      </c>
      <c r="AK186" s="9">
        <v>0.7721750257500527</v>
      </c>
      <c r="AL186" s="9">
        <v>1.5986132653277016</v>
      </c>
      <c r="AM186" s="9">
        <v>6.0794073663899049</v>
      </c>
      <c r="AN186" s="9">
        <v>9.1015864590525144</v>
      </c>
      <c r="AO186" s="9">
        <v>9.6355104362727548</v>
      </c>
      <c r="AP186" s="9">
        <v>6.3861823904774466</v>
      </c>
      <c r="AQ186" s="9">
        <v>6.1892741050655555</v>
      </c>
      <c r="AR186" s="9">
        <v>1.2786708240580735</v>
      </c>
      <c r="AS186" s="9">
        <v>6.0502188382976554</v>
      </c>
      <c r="AT186" s="9">
        <v>9.3091909521740366</v>
      </c>
      <c r="AU186" s="9">
        <v>14.071813784529526</v>
      </c>
      <c r="AV186" s="9">
        <v>8.8457738453677308</v>
      </c>
      <c r="AW186" s="9">
        <v>2.472717707597166</v>
      </c>
      <c r="AX186" s="9">
        <v>0.66369183103563667</v>
      </c>
      <c r="AY186" s="9">
        <v>1.6007545316675496</v>
      </c>
      <c r="AZ186" s="9">
        <v>6.1416972079362582</v>
      </c>
      <c r="BA186" s="9">
        <v>9.2473568484422604</v>
      </c>
      <c r="BB186" s="9">
        <v>9.7576878872897232</v>
      </c>
      <c r="BC186" s="9">
        <v>6.3905384267387833</v>
      </c>
      <c r="BD186" s="9">
        <v>6.1895542259252938</v>
      </c>
    </row>
    <row r="187" spans="3:56" x14ac:dyDescent="0.25">
      <c r="C187" s="111">
        <v>33.756700000000002</v>
      </c>
      <c r="F187" s="111">
        <v>9.6850000000000005</v>
      </c>
      <c r="G187" s="112">
        <v>100</v>
      </c>
      <c r="J187" s="111">
        <v>2241.21</v>
      </c>
      <c r="K187" s="111">
        <v>2166.5500000000002</v>
      </c>
      <c r="L187" s="91">
        <v>7.7668464771846155</v>
      </c>
      <c r="M187" s="12">
        <v>768.96468850471695</v>
      </c>
      <c r="N187" s="11">
        <v>34.340609320587689</v>
      </c>
      <c r="O187" s="11">
        <v>2059.7231891056904</v>
      </c>
      <c r="P187" s="11">
        <v>72.486201573722312</v>
      </c>
      <c r="Q187" s="11">
        <v>1.707710890103378</v>
      </c>
      <c r="R187" s="11">
        <v>1.0845653189190021</v>
      </c>
      <c r="S187" s="13">
        <v>17.071515322476777</v>
      </c>
      <c r="T187" s="14">
        <v>1026.4876227121936</v>
      </c>
      <c r="U187" s="91">
        <v>7.841709863052551</v>
      </c>
      <c r="V187" s="12">
        <v>632.39877914981253</v>
      </c>
      <c r="W187" s="11">
        <v>33.209957319895814</v>
      </c>
      <c r="X187" s="11">
        <v>2062.3590131060851</v>
      </c>
      <c r="Y187" s="11">
        <v>70.981029574019402</v>
      </c>
      <c r="Z187" s="11">
        <v>1.7056565328559832</v>
      </c>
      <c r="AA187" s="11">
        <v>1.0746491009611012</v>
      </c>
      <c r="AB187" s="13">
        <v>17.342663456226571</v>
      </c>
      <c r="AC187" s="14">
        <v>1026.6897026530785</v>
      </c>
      <c r="AD187" s="15">
        <v>4</v>
      </c>
      <c r="AE187" s="9">
        <v>1.3500984003251297</v>
      </c>
      <c r="AF187" s="9">
        <v>5.9888456154911456</v>
      </c>
      <c r="AG187" s="9">
        <v>9.2203999932269873</v>
      </c>
      <c r="AH187" s="9">
        <v>13.852726681593452</v>
      </c>
      <c r="AI187" s="9">
        <v>8.7765982090006336</v>
      </c>
      <c r="AJ187" s="9">
        <v>2.508702938708089</v>
      </c>
      <c r="AK187" s="9">
        <v>0.74542848861374278</v>
      </c>
      <c r="AL187" s="9">
        <v>1.5961336106816</v>
      </c>
      <c r="AM187" s="9">
        <v>6.0865935935680922</v>
      </c>
      <c r="AN187" s="9">
        <v>9.1290669350118634</v>
      </c>
      <c r="AO187" s="9">
        <v>9.6548599346286466</v>
      </c>
      <c r="AP187" s="9">
        <v>6.375680939917368</v>
      </c>
      <c r="AQ187" s="9">
        <v>6.1785223048964202</v>
      </c>
      <c r="AR187" s="9">
        <v>1.2797227053915912</v>
      </c>
      <c r="AS187" s="9">
        <v>6.0486139114965365</v>
      </c>
      <c r="AT187" s="9">
        <v>9.3049318376063272</v>
      </c>
      <c r="AU187" s="9">
        <v>14.069204536509211</v>
      </c>
      <c r="AV187" s="9">
        <v>8.8435104417398787</v>
      </c>
      <c r="AW187" s="9">
        <v>2.4694107676780286</v>
      </c>
      <c r="AX187" s="9">
        <v>0.6592203951427742</v>
      </c>
      <c r="AY187" s="9">
        <v>1.5997217214835153</v>
      </c>
      <c r="AZ187" s="9">
        <v>6.1397501128505816</v>
      </c>
      <c r="BA187" s="9">
        <v>9.2497692440789994</v>
      </c>
      <c r="BB187" s="9">
        <v>9.7567516172763025</v>
      </c>
      <c r="BC187" s="9">
        <v>6.3842712219317423</v>
      </c>
      <c r="BD187" s="9">
        <v>6.1836463196431382</v>
      </c>
    </row>
    <row r="188" spans="3:56" x14ac:dyDescent="0.25">
      <c r="C188" s="111">
        <v>34.073399999999999</v>
      </c>
      <c r="F188" s="111">
        <v>9.0410000000000004</v>
      </c>
      <c r="G188" s="112">
        <v>170</v>
      </c>
      <c r="J188" s="111">
        <v>2264.89</v>
      </c>
      <c r="K188" s="111">
        <v>2218.04</v>
      </c>
      <c r="L188" s="91">
        <v>7.6788497398443356</v>
      </c>
      <c r="M188" s="12">
        <v>954.37212022301594</v>
      </c>
      <c r="N188" s="11">
        <v>43.468159560934893</v>
      </c>
      <c r="O188" s="11">
        <v>2114.6052495978815</v>
      </c>
      <c r="P188" s="11">
        <v>59.966590841183063</v>
      </c>
      <c r="Q188" s="11">
        <v>1.391622531874757</v>
      </c>
      <c r="R188" s="11">
        <v>0.88414680790511413</v>
      </c>
      <c r="S188" s="13">
        <v>18.107685830111446</v>
      </c>
      <c r="T188" s="14">
        <v>1027.158524152064</v>
      </c>
      <c r="U188" s="91">
        <v>7.7454283496455316</v>
      </c>
      <c r="V188" s="12">
        <v>809.44940879467833</v>
      </c>
      <c r="W188" s="11">
        <v>42.428400989422116</v>
      </c>
      <c r="X188" s="11">
        <v>2116.8041719443695</v>
      </c>
      <c r="Y188" s="11">
        <v>58.807427066207893</v>
      </c>
      <c r="Z188" s="11">
        <v>1.4107296569182557</v>
      </c>
      <c r="AA188" s="11">
        <v>0.88936406581928473</v>
      </c>
      <c r="AB188" s="13">
        <v>18.386667385915974</v>
      </c>
      <c r="AC188" s="14">
        <v>1026.9407583519805</v>
      </c>
      <c r="AD188" s="15">
        <v>4</v>
      </c>
      <c r="AE188" s="9">
        <v>1.3415464913576656</v>
      </c>
      <c r="AF188" s="9">
        <v>5.9917916863973559</v>
      </c>
      <c r="AG188" s="9">
        <v>9.2261696863938223</v>
      </c>
      <c r="AH188" s="9">
        <v>13.876873724363234</v>
      </c>
      <c r="AI188" s="9">
        <v>8.7795022291311131</v>
      </c>
      <c r="AJ188" s="9">
        <v>2.4993132300863246</v>
      </c>
      <c r="AK188" s="9">
        <v>0.72798035731860877</v>
      </c>
      <c r="AL188" s="9">
        <v>1.5935516625676476</v>
      </c>
      <c r="AM188" s="9">
        <v>6.0886760273639027</v>
      </c>
      <c r="AN188" s="9">
        <v>9.1432724556017657</v>
      </c>
      <c r="AO188" s="9">
        <v>9.663425913644593</v>
      </c>
      <c r="AP188" s="9">
        <v>6.3650785392435791</v>
      </c>
      <c r="AQ188" s="9">
        <v>6.16808147071779</v>
      </c>
      <c r="AR188" s="9">
        <v>1.2805330454994119</v>
      </c>
      <c r="AS188" s="9">
        <v>6.04740433156549</v>
      </c>
      <c r="AT188" s="9">
        <v>9.3016768537972734</v>
      </c>
      <c r="AU188" s="9">
        <v>14.067217214769272</v>
      </c>
      <c r="AV188" s="9">
        <v>8.8417877029842842</v>
      </c>
      <c r="AW188" s="9">
        <v>2.4668762060624418</v>
      </c>
      <c r="AX188" s="9">
        <v>0.65572677458116968</v>
      </c>
      <c r="AY188" s="9">
        <v>1.5989457499829383</v>
      </c>
      <c r="AZ188" s="9">
        <v>6.1382999692387079</v>
      </c>
      <c r="BA188" s="9">
        <v>9.2518113123692824</v>
      </c>
      <c r="BB188" s="9">
        <v>9.7560472404731691</v>
      </c>
      <c r="BC188" s="9">
        <v>6.3794780646105265</v>
      </c>
      <c r="BD188" s="9">
        <v>6.179113846339912</v>
      </c>
    </row>
    <row r="189" spans="3:56" x14ac:dyDescent="0.25">
      <c r="C189" s="111">
        <v>34.172199999999997</v>
      </c>
      <c r="F189" s="111">
        <v>8.452</v>
      </c>
      <c r="G189" s="112">
        <v>230</v>
      </c>
      <c r="J189" s="111">
        <v>2277.66</v>
      </c>
      <c r="K189" s="111">
        <v>2245.29</v>
      </c>
      <c r="L189" s="91">
        <v>7.6352159202430778</v>
      </c>
      <c r="M189" s="12">
        <v>1057.4115953097305</v>
      </c>
      <c r="N189" s="11">
        <v>49.100426574674508</v>
      </c>
      <c r="O189" s="11">
        <v>2142.1746734074954</v>
      </c>
      <c r="P189" s="11">
        <v>54.014900017830243</v>
      </c>
      <c r="Q189" s="11">
        <v>1.2384639783247344</v>
      </c>
      <c r="R189" s="11">
        <v>0.78681429383886092</v>
      </c>
      <c r="S189" s="13">
        <v>18.497312152155857</v>
      </c>
      <c r="T189" s="14">
        <v>1027.6024517591047</v>
      </c>
      <c r="U189" s="91">
        <v>7.6949372431895293</v>
      </c>
      <c r="V189" s="12">
        <v>920.63580234116205</v>
      </c>
      <c r="W189" s="11">
        <v>48.228306807071846</v>
      </c>
      <c r="X189" s="11">
        <v>2143.9147012048547</v>
      </c>
      <c r="Y189" s="11">
        <v>53.146991988073367</v>
      </c>
      <c r="Z189" s="11">
        <v>1.2742613865303873</v>
      </c>
      <c r="AA189" s="11">
        <v>0.803475718007166</v>
      </c>
      <c r="AB189" s="13">
        <v>18.740446853181282</v>
      </c>
      <c r="AC189" s="14">
        <v>1027.0190854465541</v>
      </c>
      <c r="AD189" s="15">
        <v>4</v>
      </c>
      <c r="AE189" s="9">
        <v>1.3331588032564574</v>
      </c>
      <c r="AF189" s="9">
        <v>5.9954463050359443</v>
      </c>
      <c r="AG189" s="9">
        <v>9.2335572241091857</v>
      </c>
      <c r="AH189" s="9">
        <v>13.900517750631424</v>
      </c>
      <c r="AI189" s="9">
        <v>8.7834401361308796</v>
      </c>
      <c r="AJ189" s="9">
        <v>2.4923075614762817</v>
      </c>
      <c r="AK189" s="9">
        <v>0.71389746403127008</v>
      </c>
      <c r="AL189" s="9">
        <v>1.5918314122590178</v>
      </c>
      <c r="AM189" s="9">
        <v>6.0917547595186647</v>
      </c>
      <c r="AN189" s="9">
        <v>9.1555274798249009</v>
      </c>
      <c r="AO189" s="9">
        <v>9.6719710558404302</v>
      </c>
      <c r="AP189" s="9">
        <v>6.3585787817896131</v>
      </c>
      <c r="AQ189" s="9">
        <v>6.1615676434997262</v>
      </c>
      <c r="AR189" s="9">
        <v>1.2807858450025784</v>
      </c>
      <c r="AS189" s="9">
        <v>6.0470317559059694</v>
      </c>
      <c r="AT189" s="9">
        <v>9.3006660561419139</v>
      </c>
      <c r="AU189" s="9">
        <v>14.066601241787277</v>
      </c>
      <c r="AV189" s="9">
        <v>8.8412539652087982</v>
      </c>
      <c r="AW189" s="9">
        <v>2.4660877943452921</v>
      </c>
      <c r="AX189" s="9">
        <v>0.65462789437040503</v>
      </c>
      <c r="AY189" s="9">
        <v>1.5987071342180308</v>
      </c>
      <c r="AZ189" s="9">
        <v>6.1378563414957341</v>
      </c>
      <c r="BA189" s="9">
        <v>9.2524806771707873</v>
      </c>
      <c r="BB189" s="9">
        <v>9.7558304703289576</v>
      </c>
      <c r="BC189" s="9">
        <v>6.3779888126897495</v>
      </c>
      <c r="BD189" s="9">
        <v>6.1777030460493396</v>
      </c>
    </row>
    <row r="190" spans="3:56" x14ac:dyDescent="0.25">
      <c r="C190" s="111">
        <v>34.232100000000003</v>
      </c>
      <c r="F190" s="111">
        <v>7.7649999999999997</v>
      </c>
      <c r="G190" s="112">
        <v>321</v>
      </c>
      <c r="J190" s="111">
        <v>2291.1799999999998</v>
      </c>
      <c r="K190" s="111">
        <v>2273.17</v>
      </c>
      <c r="L190" s="91">
        <v>7.5920823636972363</v>
      </c>
      <c r="M190" s="12">
        <v>1165.1310269099254</v>
      </c>
      <c r="N190" s="11">
        <v>55.366449262232067</v>
      </c>
      <c r="O190" s="11">
        <v>2169.2473165510764</v>
      </c>
      <c r="P190" s="11">
        <v>48.556234186691469</v>
      </c>
      <c r="Q190" s="11">
        <v>1.0935137200236147</v>
      </c>
      <c r="R190" s="11">
        <v>0.69483576197063668</v>
      </c>
      <c r="S190" s="13">
        <v>18.739450454448573</v>
      </c>
      <c r="T190" s="14">
        <v>1028.169433378212</v>
      </c>
      <c r="U190" s="91">
        <v>7.6450957527234449</v>
      </c>
      <c r="V190" s="12">
        <v>1045.177282798441</v>
      </c>
      <c r="W190" s="11">
        <v>54.733201317971023</v>
      </c>
      <c r="X190" s="11">
        <v>2170.3992246077564</v>
      </c>
      <c r="Y190" s="11">
        <v>48.03757407427274</v>
      </c>
      <c r="Z190" s="11">
        <v>1.1513834634496103</v>
      </c>
      <c r="AA190" s="11">
        <v>0.7260743896962224</v>
      </c>
      <c r="AB190" s="13">
        <v>18.919656819593325</v>
      </c>
      <c r="AC190" s="14">
        <v>1027.0665746173997</v>
      </c>
      <c r="AD190" s="15">
        <v>4</v>
      </c>
      <c r="AE190" s="9">
        <v>1.3231280950627489</v>
      </c>
      <c r="AF190" s="9">
        <v>5.9990199672278379</v>
      </c>
      <c r="AG190" s="9">
        <v>9.24214643522558</v>
      </c>
      <c r="AH190" s="9">
        <v>13.927880134618054</v>
      </c>
      <c r="AI190" s="9">
        <v>8.7872493541216006</v>
      </c>
      <c r="AJ190" s="9">
        <v>2.4841694403684791</v>
      </c>
      <c r="AK190" s="9">
        <v>0.69720685911124702</v>
      </c>
      <c r="AL190" s="9">
        <v>1.5894668674651951</v>
      </c>
      <c r="AM190" s="9">
        <v>6.0948346617366473</v>
      </c>
      <c r="AN190" s="9">
        <v>9.1685851128798372</v>
      </c>
      <c r="AO190" s="9">
        <v>9.6810328929046978</v>
      </c>
      <c r="AP190" s="9">
        <v>6.350027615389485</v>
      </c>
      <c r="AQ190" s="9">
        <v>6.1530855417261332</v>
      </c>
      <c r="AR190" s="9">
        <v>1.280939111098121</v>
      </c>
      <c r="AS190" s="9">
        <v>6.0468069776806237</v>
      </c>
      <c r="AT190" s="9">
        <v>9.3000543111638532</v>
      </c>
      <c r="AU190" s="9">
        <v>14.066228713810403</v>
      </c>
      <c r="AV190" s="9">
        <v>8.8409312265554068</v>
      </c>
      <c r="AW190" s="9">
        <v>2.4656103258365127</v>
      </c>
      <c r="AX190" s="9">
        <v>0.65395955450054855</v>
      </c>
      <c r="AY190" s="9">
        <v>1.5985632634432543</v>
      </c>
      <c r="AZ190" s="9">
        <v>6.1375893975239162</v>
      </c>
      <c r="BA190" s="9">
        <v>9.2528939255558651</v>
      </c>
      <c r="BB190" s="9">
        <v>9.7556997313062759</v>
      </c>
      <c r="BC190" s="9">
        <v>6.3770872968854864</v>
      </c>
      <c r="BD190" s="9">
        <v>6.1768484276707003</v>
      </c>
    </row>
    <row r="191" spans="3:56" x14ac:dyDescent="0.25">
      <c r="C191" s="111">
        <v>34.322299999999998</v>
      </c>
      <c r="F191" s="111">
        <v>6.3579999999999997</v>
      </c>
      <c r="G191" s="112">
        <v>514</v>
      </c>
      <c r="J191" s="111">
        <v>2317.44</v>
      </c>
      <c r="K191" s="111">
        <v>2313.94</v>
      </c>
      <c r="L191" s="91">
        <v>7.5544357558903741</v>
      </c>
      <c r="M191" s="12">
        <v>1253.1559081296177</v>
      </c>
      <c r="N191" s="11">
        <v>62.498775639331704</v>
      </c>
      <c r="O191" s="11">
        <v>2207.9443988503176</v>
      </c>
      <c r="P191" s="11">
        <v>43.496825510350625</v>
      </c>
      <c r="Q191" s="11">
        <v>0.94238319432539741</v>
      </c>
      <c r="R191" s="11">
        <v>0.59910808887986278</v>
      </c>
      <c r="S191" s="13">
        <v>18.885942222530414</v>
      </c>
      <c r="T191" s="14">
        <v>1029.3258003956353</v>
      </c>
      <c r="U191" s="91">
        <v>7.5952374985410875</v>
      </c>
      <c r="V191" s="12">
        <v>1192.2776790475712</v>
      </c>
      <c r="W191" s="11">
        <v>62.403292977685574</v>
      </c>
      <c r="X191" s="11">
        <v>2207.8773051750554</v>
      </c>
      <c r="Y191" s="11">
        <v>43.659401847259048</v>
      </c>
      <c r="Z191" s="11">
        <v>1.045933208962786</v>
      </c>
      <c r="AA191" s="11">
        <v>0.65968218288395741</v>
      </c>
      <c r="AB191" s="13">
        <v>18.913516707778335</v>
      </c>
      <c r="AC191" s="14">
        <v>1027.138087838397</v>
      </c>
      <c r="AD191" s="15">
        <v>4</v>
      </c>
      <c r="AE191" s="9">
        <v>1.3021335964413465</v>
      </c>
      <c r="AF191" s="9">
        <v>6.0063191327670564</v>
      </c>
      <c r="AG191" s="9">
        <v>9.2599663261570395</v>
      </c>
      <c r="AH191" s="9">
        <v>13.984434223233933</v>
      </c>
      <c r="AI191" s="9">
        <v>8.7949050055371334</v>
      </c>
      <c r="AJ191" s="9">
        <v>2.4675576803932842</v>
      </c>
      <c r="AK191" s="9">
        <v>0.66268245375868362</v>
      </c>
      <c r="AL191" s="9">
        <v>1.5845943729448915</v>
      </c>
      <c r="AM191" s="9">
        <v>6.1012401693711258</v>
      </c>
      <c r="AN191" s="9">
        <v>9.1949679099632338</v>
      </c>
      <c r="AO191" s="9">
        <v>9.6995331337683854</v>
      </c>
      <c r="AP191" s="9">
        <v>6.3320755057754514</v>
      </c>
      <c r="AQ191" s="9">
        <v>6.1353531563811856</v>
      </c>
      <c r="AR191" s="9">
        <v>1.2811699057862345</v>
      </c>
      <c r="AS191" s="9">
        <v>6.0464700708642916</v>
      </c>
      <c r="AT191" s="9">
        <v>9.2991346525268828</v>
      </c>
      <c r="AU191" s="9">
        <v>14.065669052424749</v>
      </c>
      <c r="AV191" s="9">
        <v>8.8404464456718674</v>
      </c>
      <c r="AW191" s="9">
        <v>2.4648920795683158</v>
      </c>
      <c r="AX191" s="9">
        <v>0.65295009981665941</v>
      </c>
      <c r="AY191" s="9">
        <v>1.5983477463117237</v>
      </c>
      <c r="AZ191" s="9">
        <v>6.1371902834464089</v>
      </c>
      <c r="BA191" s="9">
        <v>9.2535267550787026</v>
      </c>
      <c r="BB191" s="9">
        <v>9.7555038284965185</v>
      </c>
      <c r="BC191" s="9">
        <v>6.3757317064137622</v>
      </c>
      <c r="BD191" s="9">
        <v>6.1755625086425177</v>
      </c>
    </row>
    <row r="192" spans="3:56" x14ac:dyDescent="0.25">
      <c r="C192" s="111">
        <v>33.310899999999997</v>
      </c>
      <c r="F192" s="111">
        <v>16.056000000000001</v>
      </c>
      <c r="G192" s="112">
        <v>2</v>
      </c>
      <c r="J192" s="111">
        <v>2231.9699999999998</v>
      </c>
      <c r="K192" s="111">
        <v>2003.84</v>
      </c>
      <c r="L192" s="91">
        <v>8.0713884423323652</v>
      </c>
      <c r="M192" s="12">
        <v>357.58271831393938</v>
      </c>
      <c r="N192" s="11">
        <v>13.099454441222857</v>
      </c>
      <c r="O192" s="11">
        <v>1827.3117272495606</v>
      </c>
      <c r="P192" s="11">
        <v>163.42881830921635</v>
      </c>
      <c r="Q192" s="11">
        <v>3.9408059239552502</v>
      </c>
      <c r="R192" s="11">
        <v>2.5291023783512645</v>
      </c>
      <c r="S192" s="13">
        <v>11.109139691637687</v>
      </c>
      <c r="T192" s="14">
        <v>1024.445697807455</v>
      </c>
      <c r="U192" s="91">
        <v>8.2469388831188137</v>
      </c>
      <c r="V192" s="12">
        <v>221.44641893931029</v>
      </c>
      <c r="W192" s="11">
        <v>11.659679813214664</v>
      </c>
      <c r="X192" s="11">
        <v>1833.4513945993713</v>
      </c>
      <c r="Y192" s="11">
        <v>158.7289255874139</v>
      </c>
      <c r="Z192" s="11">
        <v>3.8232293685410559</v>
      </c>
      <c r="AA192" s="11">
        <v>2.4066600317810809</v>
      </c>
      <c r="AB192" s="13">
        <v>11.270846796118537</v>
      </c>
      <c r="AC192" s="14">
        <v>1026.3363551520179</v>
      </c>
      <c r="AD192" s="15">
        <v>4</v>
      </c>
      <c r="AE192" s="9">
        <v>1.4361233127490829</v>
      </c>
      <c r="AF192" s="9">
        <v>5.9268290096821259</v>
      </c>
      <c r="AG192" s="9">
        <v>9.1198724432585241</v>
      </c>
      <c r="AH192" s="9">
        <v>13.584167669265646</v>
      </c>
      <c r="AI192" s="9">
        <v>8.7042120440178579</v>
      </c>
      <c r="AJ192" s="9">
        <v>2.5678788111171809</v>
      </c>
      <c r="AK192" s="9">
        <v>0.86624297469723877</v>
      </c>
      <c r="AL192" s="9">
        <v>1.601915536749728</v>
      </c>
      <c r="AM192" s="9">
        <v>6.0339056223882555</v>
      </c>
      <c r="AN192" s="9">
        <v>8.9802741712797456</v>
      </c>
      <c r="AO192" s="9">
        <v>9.5381750520656201</v>
      </c>
      <c r="AP192" s="9">
        <v>6.391551958656958</v>
      </c>
      <c r="AQ192" s="9">
        <v>6.1989333213051596</v>
      </c>
      <c r="AR192" s="9">
        <v>1.2785820371880341</v>
      </c>
      <c r="AS192" s="9">
        <v>6.0503561063735374</v>
      </c>
      <c r="AT192" s="9">
        <v>9.3095522076915689</v>
      </c>
      <c r="AU192" s="9">
        <v>14.072035570723203</v>
      </c>
      <c r="AV192" s="9">
        <v>8.8459663077748694</v>
      </c>
      <c r="AW192" s="9">
        <v>2.4729977224473161</v>
      </c>
      <c r="AX192" s="9">
        <v>0.66406606305819982</v>
      </c>
      <c r="AY192" s="9">
        <v>1.6008430444027877</v>
      </c>
      <c r="AZ192" s="9">
        <v>6.1418649410570945</v>
      </c>
      <c r="BA192" s="9">
        <v>9.2471656878618518</v>
      </c>
      <c r="BB192" s="9">
        <v>9.7577680631259742</v>
      </c>
      <c r="BC192" s="9">
        <v>6.391069828834909</v>
      </c>
      <c r="BD192" s="9">
        <v>6.1900542207818967</v>
      </c>
    </row>
    <row r="193" spans="3:56" x14ac:dyDescent="0.25">
      <c r="C193" s="111">
        <v>33.288499999999999</v>
      </c>
      <c r="F193" s="111">
        <v>15.218</v>
      </c>
      <c r="G193" s="112">
        <v>30</v>
      </c>
      <c r="J193" s="111">
        <v>2229.4499999999998</v>
      </c>
      <c r="K193" s="111">
        <v>2004.59</v>
      </c>
      <c r="L193" s="91">
        <v>8.0773093776505576</v>
      </c>
      <c r="M193" s="12">
        <v>350.47597521218751</v>
      </c>
      <c r="N193" s="11">
        <v>13.167636051143656</v>
      </c>
      <c r="O193" s="11">
        <v>1830.5177448052036</v>
      </c>
      <c r="P193" s="11">
        <v>160.90461914365235</v>
      </c>
      <c r="Q193" s="11">
        <v>3.8598201496595781</v>
      </c>
      <c r="R193" s="11">
        <v>2.4732387694043685</v>
      </c>
      <c r="S193" s="13">
        <v>11.202698057588643</v>
      </c>
      <c r="T193" s="14">
        <v>1024.7393571969433</v>
      </c>
      <c r="U193" s="91">
        <v>8.2407777622499125</v>
      </c>
      <c r="V193" s="12">
        <v>224.95216497530899</v>
      </c>
      <c r="W193" s="11">
        <v>11.845828885727652</v>
      </c>
      <c r="X193" s="11">
        <v>1836.1085411837869</v>
      </c>
      <c r="Y193" s="11">
        <v>156.63562993048507</v>
      </c>
      <c r="Z193" s="11">
        <v>3.7732530658011108</v>
      </c>
      <c r="AA193" s="11">
        <v>2.375089402813328</v>
      </c>
      <c r="AB193" s="13">
        <v>11.353092697058356</v>
      </c>
      <c r="AC193" s="14">
        <v>1026.3186020832834</v>
      </c>
      <c r="AD193" s="15">
        <v>4</v>
      </c>
      <c r="AE193" s="9">
        <v>1.4251504385714808</v>
      </c>
      <c r="AF193" s="9">
        <v>5.9342432487038215</v>
      </c>
      <c r="AG193" s="9">
        <v>9.1333148091662917</v>
      </c>
      <c r="AH193" s="9">
        <v>13.618649958725941</v>
      </c>
      <c r="AI193" s="9">
        <v>8.7132371872459018</v>
      </c>
      <c r="AJ193" s="9">
        <v>2.5606064148867231</v>
      </c>
      <c r="AK193" s="9">
        <v>0.8511331499367768</v>
      </c>
      <c r="AL193" s="9">
        <v>1.6008396263699913</v>
      </c>
      <c r="AM193" s="9">
        <v>6.0402187928393714</v>
      </c>
      <c r="AN193" s="9">
        <v>8.9984841179450132</v>
      </c>
      <c r="AO193" s="9">
        <v>9.55243890859769</v>
      </c>
      <c r="AP193" s="9">
        <v>6.3895862497367721</v>
      </c>
      <c r="AQ193" s="9">
        <v>6.196285226461999</v>
      </c>
      <c r="AR193" s="9">
        <v>1.2785247223209195</v>
      </c>
      <c r="AS193" s="9">
        <v>6.0504448663154085</v>
      </c>
      <c r="AT193" s="9">
        <v>9.3097855551131179</v>
      </c>
      <c r="AU193" s="9">
        <v>14.072178869753072</v>
      </c>
      <c r="AV193" s="9">
        <v>8.8460906660181333</v>
      </c>
      <c r="AW193" s="9">
        <v>2.4731785549138325</v>
      </c>
      <c r="AX193" s="9">
        <v>0.66430738314529059</v>
      </c>
      <c r="AY193" s="9">
        <v>1.6009002935142147</v>
      </c>
      <c r="AZ193" s="9">
        <v>6.1419735000514573</v>
      </c>
      <c r="BA193" s="9">
        <v>9.2470433251743387</v>
      </c>
      <c r="BB193" s="9">
        <v>9.7578199148429103</v>
      </c>
      <c r="BC193" s="9">
        <v>6.3914130680843737</v>
      </c>
      <c r="BD193" s="9">
        <v>6.1903770964249611</v>
      </c>
    </row>
    <row r="194" spans="3:56" x14ac:dyDescent="0.25">
      <c r="C194" s="111">
        <v>33.281700000000001</v>
      </c>
      <c r="F194" s="111">
        <v>14.221</v>
      </c>
      <c r="G194" s="112">
        <v>50</v>
      </c>
      <c r="J194" s="111">
        <v>2227.67</v>
      </c>
      <c r="K194" s="111">
        <v>2027.24</v>
      </c>
      <c r="L194" s="91">
        <v>8.0404003568880373</v>
      </c>
      <c r="M194" s="12">
        <v>385.83666708744602</v>
      </c>
      <c r="N194" s="11">
        <v>14.944135854453499</v>
      </c>
      <c r="O194" s="11">
        <v>1867.0830975026163</v>
      </c>
      <c r="P194" s="11">
        <v>145.21276664293023</v>
      </c>
      <c r="Q194" s="11">
        <v>3.4691985331692305</v>
      </c>
      <c r="R194" s="11">
        <v>2.2187194248313493</v>
      </c>
      <c r="S194" s="13">
        <v>11.910023632631672</v>
      </c>
      <c r="T194" s="14">
        <v>1025.0370590773682</v>
      </c>
      <c r="U194" s="91">
        <v>8.1883136237692291</v>
      </c>
      <c r="V194" s="12">
        <v>258.81813073902032</v>
      </c>
      <c r="W194" s="11">
        <v>13.629733778887832</v>
      </c>
      <c r="X194" s="11">
        <v>1872.1005138437779</v>
      </c>
      <c r="Y194" s="11">
        <v>141.50975237733431</v>
      </c>
      <c r="Z194" s="11">
        <v>3.4090019616313154</v>
      </c>
      <c r="AA194" s="11">
        <v>2.1457794601655622</v>
      </c>
      <c r="AB194" s="13">
        <v>12.072946482511774</v>
      </c>
      <c r="AC194" s="14">
        <v>1026.3132127869692</v>
      </c>
      <c r="AD194" s="15">
        <v>4</v>
      </c>
      <c r="AE194" s="9">
        <v>1.411932690434855</v>
      </c>
      <c r="AF194" s="9">
        <v>5.9437075165392592</v>
      </c>
      <c r="AG194" s="9">
        <v>9.1495592044066871</v>
      </c>
      <c r="AH194" s="9">
        <v>13.66031873996014</v>
      </c>
      <c r="AI194" s="9">
        <v>8.7245920539966324</v>
      </c>
      <c r="AJ194" s="9">
        <v>2.5519859086413912</v>
      </c>
      <c r="AK194" s="9">
        <v>0.83321224987238574</v>
      </c>
      <c r="AL194" s="9">
        <v>1.5998749540643546</v>
      </c>
      <c r="AM194" s="9">
        <v>6.0482988717721335</v>
      </c>
      <c r="AN194" s="9">
        <v>9.0209181719210267</v>
      </c>
      <c r="AO194" s="9">
        <v>9.5702219914651003</v>
      </c>
      <c r="AP194" s="9">
        <v>6.3879007712133857</v>
      </c>
      <c r="AQ194" s="9">
        <v>6.1937740027461095</v>
      </c>
      <c r="AR194" s="9">
        <v>1.2785073231648314</v>
      </c>
      <c r="AS194" s="9">
        <v>6.0504718344059869</v>
      </c>
      <c r="AT194" s="9">
        <v>9.3098564152357799</v>
      </c>
      <c r="AU194" s="9">
        <v>14.072222391241727</v>
      </c>
      <c r="AV194" s="9">
        <v>8.8461284358606438</v>
      </c>
      <c r="AW194" s="9">
        <v>2.4732334619213185</v>
      </c>
      <c r="AX194" s="9">
        <v>0.66438060091020323</v>
      </c>
      <c r="AY194" s="9">
        <v>1.6009176899893198</v>
      </c>
      <c r="AZ194" s="9">
        <v>6.1420064992348671</v>
      </c>
      <c r="BA194" s="9">
        <v>9.247006340623031</v>
      </c>
      <c r="BB194" s="9">
        <v>9.7578356703917812</v>
      </c>
      <c r="BC194" s="9">
        <v>6.3915172970721157</v>
      </c>
      <c r="BD194" s="9">
        <v>6.1904751297589664</v>
      </c>
    </row>
    <row r="195" spans="3:56" x14ac:dyDescent="0.25">
      <c r="C195" s="111">
        <v>33.556800000000003</v>
      </c>
      <c r="F195" s="111">
        <v>9.7349999999999994</v>
      </c>
      <c r="G195" s="112">
        <v>100</v>
      </c>
      <c r="J195" s="111">
        <v>2231.9</v>
      </c>
      <c r="K195" s="111">
        <v>2138.06</v>
      </c>
      <c r="L195" s="91">
        <v>7.8283118313125852</v>
      </c>
      <c r="M195" s="12">
        <v>657.46121179081615</v>
      </c>
      <c r="N195" s="11">
        <v>29.34611003957118</v>
      </c>
      <c r="O195" s="11">
        <v>2026.7711786846796</v>
      </c>
      <c r="P195" s="11">
        <v>81.942711275749019</v>
      </c>
      <c r="Q195" s="11">
        <v>1.9327855216909848</v>
      </c>
      <c r="R195" s="11">
        <v>1.2271343307258082</v>
      </c>
      <c r="S195" s="13">
        <v>16.241241607623646</v>
      </c>
      <c r="T195" s="14">
        <v>1026.3232184066592</v>
      </c>
      <c r="U195" s="91">
        <v>7.9049008660281377</v>
      </c>
      <c r="V195" s="12">
        <v>538.34145886010981</v>
      </c>
      <c r="W195" s="11">
        <v>28.303921150335796</v>
      </c>
      <c r="X195" s="11">
        <v>2029.3551884827637</v>
      </c>
      <c r="Y195" s="11">
        <v>80.400890366900256</v>
      </c>
      <c r="Z195" s="11">
        <v>1.9340676730494739</v>
      </c>
      <c r="AA195" s="11">
        <v>1.2180777227457447</v>
      </c>
      <c r="AB195" s="13">
        <v>16.467611850193531</v>
      </c>
      <c r="AC195" s="14">
        <v>1026.5312520095943</v>
      </c>
      <c r="AD195" s="15">
        <v>4</v>
      </c>
      <c r="AE195" s="9">
        <v>1.3503195941769619</v>
      </c>
      <c r="AF195" s="9">
        <v>5.9890576531412254</v>
      </c>
      <c r="AG195" s="9">
        <v>9.2216062216189165</v>
      </c>
      <c r="AH195" s="9">
        <v>13.851848354621959</v>
      </c>
      <c r="AI195" s="9">
        <v>8.7770686409837726</v>
      </c>
      <c r="AJ195" s="9">
        <v>2.5107402083725696</v>
      </c>
      <c r="AK195" s="9">
        <v>0.74830067624441321</v>
      </c>
      <c r="AL195" s="9">
        <v>1.5966853249160149</v>
      </c>
      <c r="AM195" s="9">
        <v>6.0871054549115611</v>
      </c>
      <c r="AN195" s="9">
        <v>9.1268710223944538</v>
      </c>
      <c r="AO195" s="9">
        <v>9.6543233725260826</v>
      </c>
      <c r="AP195" s="9">
        <v>6.3787747131514543</v>
      </c>
      <c r="AQ195" s="9">
        <v>6.1814831557036847</v>
      </c>
      <c r="AR195" s="9">
        <v>1.2792112213765821</v>
      </c>
      <c r="AS195" s="9">
        <v>6.0493894055243613</v>
      </c>
      <c r="AT195" s="9">
        <v>9.3069980740401022</v>
      </c>
      <c r="AU195" s="9">
        <v>14.070469097209664</v>
      </c>
      <c r="AV195" s="9">
        <v>8.8446071862202604</v>
      </c>
      <c r="AW195" s="9">
        <v>2.4710163857303677</v>
      </c>
      <c r="AX195" s="9">
        <v>0.66140345272649381</v>
      </c>
      <c r="AY195" s="9">
        <v>1.6002203002183701</v>
      </c>
      <c r="AZ195" s="9">
        <v>6.1406877003140226</v>
      </c>
      <c r="BA195" s="9">
        <v>9.2485623087420148</v>
      </c>
      <c r="BB195" s="9">
        <v>9.7572037646997245</v>
      </c>
      <c r="BC195" s="9">
        <v>6.3873121867992149</v>
      </c>
      <c r="BD195" s="9">
        <v>6.1865155213334013</v>
      </c>
    </row>
    <row r="196" spans="3:56" x14ac:dyDescent="0.25">
      <c r="C196" s="111">
        <v>33.923299999999998</v>
      </c>
      <c r="F196" s="111">
        <v>8.8130000000000006</v>
      </c>
      <c r="G196" s="112">
        <v>170</v>
      </c>
      <c r="J196" s="111">
        <v>2253.86</v>
      </c>
      <c r="K196" s="111">
        <v>2193.14</v>
      </c>
      <c r="L196" s="91">
        <v>7.7298140773484301</v>
      </c>
      <c r="M196" s="12">
        <v>837.34071465445982</v>
      </c>
      <c r="N196" s="11">
        <v>38.465026583926218</v>
      </c>
      <c r="O196" s="11">
        <v>2088.8964466681332</v>
      </c>
      <c r="P196" s="11">
        <v>65.778526747940177</v>
      </c>
      <c r="Q196" s="11">
        <v>1.5277062879752006</v>
      </c>
      <c r="R196" s="11">
        <v>0.96998494761932119</v>
      </c>
      <c r="S196" s="13">
        <v>17.682576560198207</v>
      </c>
      <c r="T196" s="14">
        <v>1027.0779372159025</v>
      </c>
      <c r="U196" s="91">
        <v>7.7937655144854254</v>
      </c>
      <c r="V196" s="12">
        <v>715.63449730829382</v>
      </c>
      <c r="W196" s="11">
        <v>37.544150570224815</v>
      </c>
      <c r="X196" s="11">
        <v>2090.8991854499009</v>
      </c>
      <c r="Y196" s="11">
        <v>64.696663979873961</v>
      </c>
      <c r="Z196" s="11">
        <v>1.5532598817020846</v>
      </c>
      <c r="AA196" s="11">
        <v>0.97894457782439293</v>
      </c>
      <c r="AB196" s="13">
        <v>17.918240093808983</v>
      </c>
      <c r="AC196" s="14">
        <v>1026.8217668549814</v>
      </c>
      <c r="AD196" s="15">
        <v>4</v>
      </c>
      <c r="AE196" s="9">
        <v>1.3378361718294185</v>
      </c>
      <c r="AF196" s="9">
        <v>5.9949632031354243</v>
      </c>
      <c r="AG196" s="9">
        <v>9.2316468461912322</v>
      </c>
      <c r="AH196" s="9">
        <v>13.888067958037952</v>
      </c>
      <c r="AI196" s="9">
        <v>8.7832709532607147</v>
      </c>
      <c r="AJ196" s="9">
        <v>2.4985334983460072</v>
      </c>
      <c r="AK196" s="9">
        <v>0.72519695517600113</v>
      </c>
      <c r="AL196" s="9">
        <v>1.5939578845020541</v>
      </c>
      <c r="AM196" s="9">
        <v>6.0917008315338306</v>
      </c>
      <c r="AN196" s="9">
        <v>9.1480097843303803</v>
      </c>
      <c r="AO196" s="9">
        <v>9.6683645129912197</v>
      </c>
      <c r="AP196" s="9">
        <v>6.3673395493332769</v>
      </c>
      <c r="AQ196" s="9">
        <v>6.1700646780324799</v>
      </c>
      <c r="AR196" s="9">
        <v>1.2801489847157557</v>
      </c>
      <c r="AS196" s="9">
        <v>6.0479747039939102</v>
      </c>
      <c r="AT196" s="9">
        <v>9.3032167206396998</v>
      </c>
      <c r="AU196" s="9">
        <v>14.06815665682292</v>
      </c>
      <c r="AV196" s="9">
        <v>8.8426019364555302</v>
      </c>
      <c r="AW196" s="9">
        <v>2.4680760625824139</v>
      </c>
      <c r="AX196" s="9">
        <v>0.65738800119444296</v>
      </c>
      <c r="AY196" s="9">
        <v>1.5993114052219328</v>
      </c>
      <c r="AZ196" s="9">
        <v>6.1389819034341997</v>
      </c>
      <c r="BA196" s="9">
        <v>9.2508237220481373</v>
      </c>
      <c r="BB196" s="9">
        <v>9.7563792625388448</v>
      </c>
      <c r="BC196" s="9">
        <v>6.3817460634188921</v>
      </c>
      <c r="BD196" s="9">
        <v>6.181260043441192</v>
      </c>
    </row>
    <row r="197" spans="3:56" x14ac:dyDescent="0.25">
      <c r="C197" s="111">
        <v>34.072200000000002</v>
      </c>
      <c r="F197" s="111">
        <v>8.2059999999999995</v>
      </c>
      <c r="G197" s="112">
        <v>230</v>
      </c>
      <c r="J197" s="111">
        <v>2272.2199999999998</v>
      </c>
      <c r="K197" s="111">
        <v>2227.9299999999998</v>
      </c>
      <c r="L197" s="91">
        <v>7.6799163313921968</v>
      </c>
      <c r="M197" s="12">
        <v>944.86226636718197</v>
      </c>
      <c r="N197" s="11">
        <v>44.26844483312707</v>
      </c>
      <c r="O197" s="11">
        <v>2124.9891879728798</v>
      </c>
      <c r="P197" s="11">
        <v>58.672367193993104</v>
      </c>
      <c r="Q197" s="11">
        <v>1.3458751928333279</v>
      </c>
      <c r="R197" s="11">
        <v>0.85457758828588926</v>
      </c>
      <c r="S197" s="13">
        <v>18.264906444087998</v>
      </c>
      <c r="T197" s="14">
        <v>1027.5626732549279</v>
      </c>
      <c r="U197" s="91">
        <v>7.7366076621006989</v>
      </c>
      <c r="V197" s="12">
        <v>829.86093491073746</v>
      </c>
      <c r="W197" s="11">
        <v>43.498606658698492</v>
      </c>
      <c r="X197" s="11">
        <v>2126.5428455181827</v>
      </c>
      <c r="Y197" s="11">
        <v>57.888547823118692</v>
      </c>
      <c r="Z197" s="11">
        <v>1.3886956756834425</v>
      </c>
      <c r="AA197" s="11">
        <v>0.87547128013797126</v>
      </c>
      <c r="AB197" s="13">
        <v>18.473807695504284</v>
      </c>
      <c r="AC197" s="14">
        <v>1026.9398070282382</v>
      </c>
      <c r="AD197" s="15">
        <v>4</v>
      </c>
      <c r="AE197" s="9">
        <v>1.3292742402083355</v>
      </c>
      <c r="AF197" s="9">
        <v>5.9986538720280844</v>
      </c>
      <c r="AG197" s="9">
        <v>9.23883944547193</v>
      </c>
      <c r="AH197" s="9">
        <v>13.912239475138964</v>
      </c>
      <c r="AI197" s="9">
        <v>8.7871744597683605</v>
      </c>
      <c r="AJ197" s="9">
        <v>2.4909602589525655</v>
      </c>
      <c r="AK197" s="9">
        <v>0.71024739048134766</v>
      </c>
      <c r="AL197" s="9">
        <v>1.5921123253011831</v>
      </c>
      <c r="AM197" s="9">
        <v>6.0947385838444461</v>
      </c>
      <c r="AN197" s="9">
        <v>9.1609802071109847</v>
      </c>
      <c r="AO197" s="9">
        <v>9.6771878688469251</v>
      </c>
      <c r="AP197" s="9">
        <v>6.3600529198617766</v>
      </c>
      <c r="AQ197" s="9">
        <v>6.1627996306221737</v>
      </c>
      <c r="AR197" s="9">
        <v>1.2805299750601022</v>
      </c>
      <c r="AS197" s="9">
        <v>6.0474088707281419</v>
      </c>
      <c r="AT197" s="9">
        <v>9.301689144284083</v>
      </c>
      <c r="AU197" s="9">
        <v>14.067224707878841</v>
      </c>
      <c r="AV197" s="9">
        <v>8.8417941964164157</v>
      </c>
      <c r="AW197" s="9">
        <v>2.4668857885699689</v>
      </c>
      <c r="AX197" s="9">
        <v>0.65574009474310357</v>
      </c>
      <c r="AY197" s="9">
        <v>1.5989486582228247</v>
      </c>
      <c r="AZ197" s="9">
        <v>6.1383053829456662</v>
      </c>
      <c r="BA197" s="9">
        <v>9.25180327643222</v>
      </c>
      <c r="BB197" s="9">
        <v>9.756049881956077</v>
      </c>
      <c r="BC197" s="9">
        <v>6.3794961702121959</v>
      </c>
      <c r="BD197" s="9">
        <v>6.1791309906844916</v>
      </c>
    </row>
    <row r="198" spans="3:56" x14ac:dyDescent="0.25">
      <c r="C198" s="111">
        <v>34.201099999999997</v>
      </c>
      <c r="F198" s="111">
        <v>7.2919999999999998</v>
      </c>
      <c r="G198" s="112">
        <v>319</v>
      </c>
      <c r="J198" s="111">
        <v>2291.0100000000002</v>
      </c>
      <c r="K198" s="111">
        <v>2276.52</v>
      </c>
      <c r="L198" s="91">
        <v>7.5871481911969427</v>
      </c>
      <c r="M198" s="12">
        <v>1176.3135948938238</v>
      </c>
      <c r="N198" s="11">
        <v>56.826710851011434</v>
      </c>
      <c r="O198" s="11">
        <v>2172.5544375912464</v>
      </c>
      <c r="P198" s="11">
        <v>47.138851557741944</v>
      </c>
      <c r="Q198" s="11">
        <v>1.0618666492672655</v>
      </c>
      <c r="R198" s="11">
        <v>0.67421019020453332</v>
      </c>
      <c r="S198" s="13">
        <v>18.797372218838358</v>
      </c>
      <c r="T198" s="14">
        <v>1028.2070558362425</v>
      </c>
      <c r="U198" s="91">
        <v>7.6332718977908254</v>
      </c>
      <c r="V198" s="12">
        <v>1075.6024912536875</v>
      </c>
      <c r="W198" s="11">
        <v>56.33677835493549</v>
      </c>
      <c r="X198" s="11">
        <v>2173.4052059583737</v>
      </c>
      <c r="Y198" s="11">
        <v>46.778015686690438</v>
      </c>
      <c r="Z198" s="11">
        <v>1.1213822540861078</v>
      </c>
      <c r="AA198" s="11">
        <v>0.70711589850757661</v>
      </c>
      <c r="AB198" s="13">
        <v>18.937547381779673</v>
      </c>
      <c r="AC198" s="14">
        <v>1027.0419974530935</v>
      </c>
      <c r="AD198" s="15">
        <v>4</v>
      </c>
      <c r="AE198" s="9">
        <v>1.3159705966152995</v>
      </c>
      <c r="AF198" s="9">
        <v>6.0047300435067417</v>
      </c>
      <c r="AG198" s="9">
        <v>9.2507398609344591</v>
      </c>
      <c r="AH198" s="9">
        <v>13.949585650957989</v>
      </c>
      <c r="AI198" s="9">
        <v>8.7936815256545877</v>
      </c>
      <c r="AJ198" s="9">
        <v>2.4803033460864605</v>
      </c>
      <c r="AK198" s="9">
        <v>0.68850132749687365</v>
      </c>
      <c r="AL198" s="9">
        <v>1.5896649994926797</v>
      </c>
      <c r="AM198" s="9">
        <v>6.0999575375634389</v>
      </c>
      <c r="AN198" s="9">
        <v>9.1801721225893047</v>
      </c>
      <c r="AO198" s="9">
        <v>9.6908850915106388</v>
      </c>
      <c r="AP198" s="9">
        <v>6.3505328273792498</v>
      </c>
      <c r="AQ198" s="9">
        <v>6.1532581588166408</v>
      </c>
      <c r="AR198" s="9">
        <v>1.2808597914159539</v>
      </c>
      <c r="AS198" s="9">
        <v>6.0469232028256874</v>
      </c>
      <c r="AT198" s="9">
        <v>9.3003708055965202</v>
      </c>
      <c r="AU198" s="9">
        <v>14.066421421263335</v>
      </c>
      <c r="AV198" s="9">
        <v>8.8410981728976736</v>
      </c>
      <c r="AW198" s="9">
        <v>2.4658573802589578</v>
      </c>
      <c r="AX198" s="9">
        <v>0.65430564021208759</v>
      </c>
      <c r="AY198" s="9">
        <v>1.5986376458873353</v>
      </c>
      <c r="AZ198" s="9">
        <v>6.1377273591323727</v>
      </c>
      <c r="BA198" s="9">
        <v>9.2526793586056009</v>
      </c>
      <c r="BB198" s="9">
        <v>9.7557673282905348</v>
      </c>
      <c r="BC198" s="9">
        <v>6.3775537280525283</v>
      </c>
      <c r="BD198" s="9">
        <v>6.1772906508162917</v>
      </c>
    </row>
    <row r="199" spans="3:56" x14ac:dyDescent="0.25">
      <c r="C199" s="111">
        <v>34.311900000000001</v>
      </c>
      <c r="F199" s="111">
        <v>6.2060000000000004</v>
      </c>
      <c r="G199" s="112">
        <v>517</v>
      </c>
      <c r="J199" s="111">
        <v>2317.85</v>
      </c>
      <c r="K199" s="111">
        <v>2315.5700000000002</v>
      </c>
      <c r="L199" s="91">
        <v>7.5524157514492645</v>
      </c>
      <c r="M199" s="12">
        <v>1257.955484781892</v>
      </c>
      <c r="N199" s="11">
        <v>63.078448444543319</v>
      </c>
      <c r="O199" s="11">
        <v>2209.4329819650379</v>
      </c>
      <c r="P199" s="11">
        <v>43.05856959041872</v>
      </c>
      <c r="Q199" s="11">
        <v>0.93224818339239235</v>
      </c>
      <c r="R199" s="11">
        <v>0.59255648059809152</v>
      </c>
      <c r="S199" s="13">
        <v>18.890876777678759</v>
      </c>
      <c r="T199" s="14">
        <v>1029.352770604492</v>
      </c>
      <c r="U199" s="91">
        <v>7.5912007736492173</v>
      </c>
      <c r="V199" s="12">
        <v>1204.2023331568755</v>
      </c>
      <c r="W199" s="11">
        <v>63.03128615567401</v>
      </c>
      <c r="X199" s="11">
        <v>2209.266580949648</v>
      </c>
      <c r="Y199" s="11">
        <v>43.272132894677988</v>
      </c>
      <c r="Z199" s="11">
        <v>1.0367141763609025</v>
      </c>
      <c r="AA199" s="11">
        <v>0.65385562550849952</v>
      </c>
      <c r="AB199" s="13">
        <v>18.904738669271957</v>
      </c>
      <c r="AC199" s="14">
        <v>1027.1298422898967</v>
      </c>
      <c r="AD199" s="15">
        <v>4</v>
      </c>
      <c r="AE199" s="9">
        <v>1.2997842706759459</v>
      </c>
      <c r="AF199" s="9">
        <v>6.008015921013496</v>
      </c>
      <c r="AG199" s="9">
        <v>9.262636985804507</v>
      </c>
      <c r="AH199" s="9">
        <v>13.99135286277334</v>
      </c>
      <c r="AI199" s="9">
        <v>8.7967911402385912</v>
      </c>
      <c r="AJ199" s="9">
        <v>2.466239842206853</v>
      </c>
      <c r="AK199" s="9">
        <v>0.65971933072010069</v>
      </c>
      <c r="AL199" s="9">
        <v>1.5845768823044086</v>
      </c>
      <c r="AM199" s="9">
        <v>6.1027702176025338</v>
      </c>
      <c r="AN199" s="9">
        <v>9.1985350167543682</v>
      </c>
      <c r="AO199" s="9">
        <v>9.7025415305878067</v>
      </c>
      <c r="AP199" s="9">
        <v>6.3319090983366859</v>
      </c>
      <c r="AQ199" s="9">
        <v>6.1351073048052713</v>
      </c>
      <c r="AR199" s="9">
        <v>1.281143295312217</v>
      </c>
      <c r="AS199" s="9">
        <v>6.0465088195226206</v>
      </c>
      <c r="AT199" s="9">
        <v>9.299240594572252</v>
      </c>
      <c r="AU199" s="9">
        <v>14.065733501038892</v>
      </c>
      <c r="AV199" s="9">
        <v>8.8405022663242505</v>
      </c>
      <c r="AW199" s="9">
        <v>2.4649748472306792</v>
      </c>
      <c r="AX199" s="9">
        <v>0.65306667649655181</v>
      </c>
      <c r="AY199" s="9">
        <v>1.598372526187281</v>
      </c>
      <c r="AZ199" s="9">
        <v>6.1372361259767354</v>
      </c>
      <c r="BA199" s="9">
        <v>9.253453145345981</v>
      </c>
      <c r="BB199" s="9">
        <v>9.7555263566470778</v>
      </c>
      <c r="BC199" s="9">
        <v>6.3758878860506183</v>
      </c>
      <c r="BD199" s="9">
        <v>6.175710713375981</v>
      </c>
    </row>
    <row r="200" spans="3:56" x14ac:dyDescent="0.25">
      <c r="C200" s="111">
        <v>33.458300000000001</v>
      </c>
      <c r="F200" s="111">
        <v>17.288</v>
      </c>
      <c r="G200" s="112">
        <v>1</v>
      </c>
      <c r="J200" s="111">
        <v>2239.37</v>
      </c>
      <c r="K200" s="111">
        <v>2012.4</v>
      </c>
      <c r="L200" s="91">
        <v>8.047112964774616</v>
      </c>
      <c r="M200" s="12">
        <v>382.73245042410377</v>
      </c>
      <c r="N200" s="11">
        <v>13.510057417493039</v>
      </c>
      <c r="O200" s="11">
        <v>1835.569764911553</v>
      </c>
      <c r="P200" s="11">
        <v>163.32017767095414</v>
      </c>
      <c r="Q200" s="11">
        <v>3.9389135106183621</v>
      </c>
      <c r="R200" s="11">
        <v>2.5358011559868139</v>
      </c>
      <c r="S200" s="13">
        <v>11.134095474309207</v>
      </c>
      <c r="T200" s="14">
        <v>1024.268538520957</v>
      </c>
      <c r="U200" s="91">
        <v>8.2415339252338971</v>
      </c>
      <c r="V200" s="12">
        <v>225.2154150374067</v>
      </c>
      <c r="W200" s="11">
        <v>11.847832981557262</v>
      </c>
      <c r="X200" s="11">
        <v>1842.459294302656</v>
      </c>
      <c r="Y200" s="11">
        <v>158.092872715787</v>
      </c>
      <c r="Z200" s="11">
        <v>3.8049536076844457</v>
      </c>
      <c r="AA200" s="11">
        <v>2.39588523976682</v>
      </c>
      <c r="AB200" s="13">
        <v>11.320125978771049</v>
      </c>
      <c r="AC200" s="14">
        <v>1026.4531802371491</v>
      </c>
      <c r="AD200" s="15">
        <v>4</v>
      </c>
      <c r="AE200" s="9">
        <v>1.4522380911881643</v>
      </c>
      <c r="AF200" s="9">
        <v>5.9139992640626282</v>
      </c>
      <c r="AG200" s="9">
        <v>9.0978440165493328</v>
      </c>
      <c r="AH200" s="9">
        <v>13.531749103454231</v>
      </c>
      <c r="AI200" s="9">
        <v>8.688379428605213</v>
      </c>
      <c r="AJ200" s="9">
        <v>2.5768381112149572</v>
      </c>
      <c r="AK200" s="9">
        <v>0.88601258042283404</v>
      </c>
      <c r="AL200" s="9">
        <v>1.6023177072577857</v>
      </c>
      <c r="AM200" s="9">
        <v>6.0226960077021703</v>
      </c>
      <c r="AN200" s="9">
        <v>8.9522471446602552</v>
      </c>
      <c r="AO200" s="9">
        <v>9.5152056059850434</v>
      </c>
      <c r="AP200" s="9">
        <v>6.3897146487298215</v>
      </c>
      <c r="AQ200" s="9">
        <v>6.1984533993989039</v>
      </c>
      <c r="AR200" s="9">
        <v>1.2789591894832437</v>
      </c>
      <c r="AS200" s="9">
        <v>6.049774946846167</v>
      </c>
      <c r="AT200" s="9">
        <v>9.308019535823961</v>
      </c>
      <c r="AU200" s="9">
        <v>14.07109512594409</v>
      </c>
      <c r="AV200" s="9">
        <v>8.8451502807355595</v>
      </c>
      <c r="AW200" s="9">
        <v>2.4718092179397826</v>
      </c>
      <c r="AX200" s="9">
        <v>0.66247299817313188</v>
      </c>
      <c r="AY200" s="9">
        <v>1.6004684972622782</v>
      </c>
      <c r="AZ200" s="9">
        <v>6.1411560872852586</v>
      </c>
      <c r="BA200" s="9">
        <v>9.2479911517225979</v>
      </c>
      <c r="BB200" s="9">
        <v>9.7574287269631306</v>
      </c>
      <c r="BC200" s="9">
        <v>6.3888151224538019</v>
      </c>
      <c r="BD200" s="9">
        <v>6.1879317684919126</v>
      </c>
    </row>
    <row r="201" spans="3:56" x14ac:dyDescent="0.25">
      <c r="C201" s="111">
        <v>33.4529</v>
      </c>
      <c r="F201" s="111">
        <v>17.212</v>
      </c>
      <c r="G201" s="112">
        <v>38</v>
      </c>
      <c r="J201" s="111">
        <v>2228.04</v>
      </c>
      <c r="K201" s="111">
        <v>2011.22</v>
      </c>
      <c r="L201" s="91">
        <v>8.0276713120320746</v>
      </c>
      <c r="M201" s="12">
        <v>399.72654643073952</v>
      </c>
      <c r="N201" s="11">
        <v>14.141649292618327</v>
      </c>
      <c r="O201" s="11">
        <v>1840.5696031724949</v>
      </c>
      <c r="P201" s="11">
        <v>156.50874753488662</v>
      </c>
      <c r="Q201" s="11">
        <v>3.7516741740815456</v>
      </c>
      <c r="R201" s="11">
        <v>2.4158382718026306</v>
      </c>
      <c r="S201" s="13">
        <v>11.370825208194105</v>
      </c>
      <c r="T201" s="14">
        <v>1024.4457100518159</v>
      </c>
      <c r="U201" s="91">
        <v>8.2218058043159576</v>
      </c>
      <c r="V201" s="12">
        <v>236.30970489298198</v>
      </c>
      <c r="W201" s="11">
        <v>12.43186213557024</v>
      </c>
      <c r="X201" s="11">
        <v>1847.3357771247017</v>
      </c>
      <c r="Y201" s="11">
        <v>151.45236073972782</v>
      </c>
      <c r="Z201" s="11">
        <v>3.645234776175688</v>
      </c>
      <c r="AA201" s="11">
        <v>2.2952889149635411</v>
      </c>
      <c r="AB201" s="13">
        <v>11.568554129795398</v>
      </c>
      <c r="AC201" s="14">
        <v>1026.4489002403106</v>
      </c>
      <c r="AD201" s="15">
        <v>4</v>
      </c>
      <c r="AE201" s="9">
        <v>1.4512629286483913</v>
      </c>
      <c r="AF201" s="9">
        <v>5.9132191293212317</v>
      </c>
      <c r="AG201" s="9">
        <v>9.0980849414471834</v>
      </c>
      <c r="AH201" s="9">
        <v>13.533710027078762</v>
      </c>
      <c r="AI201" s="9">
        <v>8.6875069832427787</v>
      </c>
      <c r="AJ201" s="9">
        <v>2.5755797781315604</v>
      </c>
      <c r="AK201" s="9">
        <v>0.88363182562375286</v>
      </c>
      <c r="AL201" s="9">
        <v>1.6014458971878336</v>
      </c>
      <c r="AM201" s="9">
        <v>6.0219713075143808</v>
      </c>
      <c r="AN201" s="9">
        <v>8.9523869639780393</v>
      </c>
      <c r="AO201" s="9">
        <v>9.5147792871280696</v>
      </c>
      <c r="AP201" s="9">
        <v>6.3871346438780909</v>
      </c>
      <c r="AQ201" s="9">
        <v>6.195977387295982</v>
      </c>
      <c r="AR201" s="9">
        <v>1.2789453725063495</v>
      </c>
      <c r="AS201" s="9">
        <v>6.0497961484020699</v>
      </c>
      <c r="AT201" s="9">
        <v>9.3080755983412988</v>
      </c>
      <c r="AU201" s="9">
        <v>14.071129502312404</v>
      </c>
      <c r="AV201" s="9">
        <v>8.8451801056948565</v>
      </c>
      <c r="AW201" s="9">
        <v>2.4718527148762255</v>
      </c>
      <c r="AX201" s="9">
        <v>0.66253151714830516</v>
      </c>
      <c r="AY201" s="9">
        <v>1.6004821524053137</v>
      </c>
      <c r="AZ201" s="9">
        <v>6.1411818879614879</v>
      </c>
      <c r="BA201" s="9">
        <v>9.2479602912507897</v>
      </c>
      <c r="BB201" s="9">
        <v>9.7574411015013531</v>
      </c>
      <c r="BC201" s="9">
        <v>6.3888976038524126</v>
      </c>
      <c r="BD201" s="9">
        <v>6.1880094582611651</v>
      </c>
    </row>
    <row r="202" spans="3:56" x14ac:dyDescent="0.25">
      <c r="C202" s="111">
        <v>33.453899999999997</v>
      </c>
      <c r="F202" s="111">
        <v>17.207999999999998</v>
      </c>
      <c r="G202" s="112">
        <v>54</v>
      </c>
      <c r="J202" s="111">
        <v>2239.11</v>
      </c>
      <c r="K202" s="111">
        <v>2011.14</v>
      </c>
      <c r="L202" s="91">
        <v>8.0485989348943328</v>
      </c>
      <c r="M202" s="12">
        <v>378.95121989563279</v>
      </c>
      <c r="N202" s="11">
        <v>13.408144002019068</v>
      </c>
      <c r="O202" s="11">
        <v>1833.9342039231319</v>
      </c>
      <c r="P202" s="11">
        <v>163.79765207484894</v>
      </c>
      <c r="Q202" s="11">
        <v>3.9160612796212506</v>
      </c>
      <c r="R202" s="11">
        <v>2.5221425266970674</v>
      </c>
      <c r="S202" s="13">
        <v>11.110067151279985</v>
      </c>
      <c r="T202" s="14">
        <v>1024.517993762905</v>
      </c>
      <c r="U202" s="91">
        <v>8.2437035791289848</v>
      </c>
      <c r="V202" s="12">
        <v>223.87617182435267</v>
      </c>
      <c r="W202" s="11">
        <v>11.77768516665985</v>
      </c>
      <c r="X202" s="11">
        <v>1840.6503524249183</v>
      </c>
      <c r="Y202" s="11">
        <v>158.71196240842161</v>
      </c>
      <c r="Z202" s="11">
        <v>3.8199425048176132</v>
      </c>
      <c r="AA202" s="11">
        <v>2.4053017558449801</v>
      </c>
      <c r="AB202" s="13">
        <v>11.292249818620064</v>
      </c>
      <c r="AC202" s="14">
        <v>1026.449692831691</v>
      </c>
      <c r="AD202" s="15">
        <v>4</v>
      </c>
      <c r="AE202" s="9">
        <v>1.4512146438701654</v>
      </c>
      <c r="AF202" s="9">
        <v>5.9125838500556549</v>
      </c>
      <c r="AG202" s="9">
        <v>9.0976750131597157</v>
      </c>
      <c r="AH202" s="9">
        <v>13.533336276027876</v>
      </c>
      <c r="AI202" s="9">
        <v>8.6867597670987493</v>
      </c>
      <c r="AJ202" s="9">
        <v>2.5752453706973975</v>
      </c>
      <c r="AK202" s="9">
        <v>0.88306305581037114</v>
      </c>
      <c r="AL202" s="9">
        <v>1.6010796137922705</v>
      </c>
      <c r="AM202" s="9">
        <v>6.0213985250145914</v>
      </c>
      <c r="AN202" s="9">
        <v>8.9517917390886161</v>
      </c>
      <c r="AO202" s="9">
        <v>9.5140598556846747</v>
      </c>
      <c r="AP202" s="9">
        <v>6.3859769711165484</v>
      </c>
      <c r="AQ202" s="9">
        <v>6.1948971169553753</v>
      </c>
      <c r="AR202" s="9">
        <v>1.2789479312057743</v>
      </c>
      <c r="AS202" s="9">
        <v>6.0497922216760438</v>
      </c>
      <c r="AT202" s="9">
        <v>9.308065215894878</v>
      </c>
      <c r="AU202" s="9">
        <v>14.071123135878343</v>
      </c>
      <c r="AV202" s="9">
        <v>8.8451745821519232</v>
      </c>
      <c r="AW202" s="9">
        <v>2.4718446596364561</v>
      </c>
      <c r="AX202" s="9">
        <v>0.66252068120716634</v>
      </c>
      <c r="AY202" s="9">
        <v>1.600479623294959</v>
      </c>
      <c r="AZ202" s="9">
        <v>6.1411771090954685</v>
      </c>
      <c r="BA202" s="9">
        <v>9.2479660026052457</v>
      </c>
      <c r="BB202" s="9">
        <v>9.7574388095935909</v>
      </c>
      <c r="BC202" s="9">
        <v>6.388882328835142</v>
      </c>
      <c r="BD202" s="9">
        <v>6.1879950708897367</v>
      </c>
    </row>
    <row r="203" spans="3:56" x14ac:dyDescent="0.25">
      <c r="C203" s="111">
        <v>33.3489</v>
      </c>
      <c r="F203" s="111">
        <v>12.228</v>
      </c>
      <c r="G203" s="112">
        <v>95</v>
      </c>
      <c r="J203" s="111">
        <v>2226.56</v>
      </c>
      <c r="K203" s="111">
        <v>2072.2399999999998</v>
      </c>
      <c r="L203" s="91">
        <v>7.9604906628663059</v>
      </c>
      <c r="M203" s="12">
        <v>472.18055885919807</v>
      </c>
      <c r="N203" s="11">
        <v>19.457859911607159</v>
      </c>
      <c r="O203" s="11">
        <v>1936.3169305204158</v>
      </c>
      <c r="P203" s="11">
        <v>116.46520956797664</v>
      </c>
      <c r="Q203" s="11">
        <v>2.7559587544852158</v>
      </c>
      <c r="R203" s="11">
        <v>1.7567520795824361</v>
      </c>
      <c r="S203" s="13">
        <v>13.546727164345832</v>
      </c>
      <c r="T203" s="14">
        <v>1025.6909028272119</v>
      </c>
      <c r="U203" s="91">
        <v>8.0775591812777794</v>
      </c>
      <c r="V203" s="12">
        <v>346.07577201580352</v>
      </c>
      <c r="W203" s="11">
        <v>18.217632152156988</v>
      </c>
      <c r="X203" s="11">
        <v>1940.194688469868</v>
      </c>
      <c r="Y203" s="11">
        <v>113.82767937797448</v>
      </c>
      <c r="Z203" s="11">
        <v>2.7411663162814266</v>
      </c>
      <c r="AA203" s="11">
        <v>1.7256557537356827</v>
      </c>
      <c r="AB203" s="13">
        <v>13.737329944650961</v>
      </c>
      <c r="AC203" s="14">
        <v>1026.3664722903957</v>
      </c>
      <c r="AD203" s="15">
        <v>4</v>
      </c>
      <c r="AE203" s="9">
        <v>1.3850130295269276</v>
      </c>
      <c r="AF203" s="9">
        <v>5.9626092923943563</v>
      </c>
      <c r="AG203" s="9">
        <v>9.181270893175018</v>
      </c>
      <c r="AH203" s="9">
        <v>13.74400633958691</v>
      </c>
      <c r="AI203" s="9">
        <v>8.746815036326506</v>
      </c>
      <c r="AJ203" s="9">
        <v>2.5338356893714264</v>
      </c>
      <c r="AK203" s="9">
        <v>0.79586564906590829</v>
      </c>
      <c r="AL203" s="9">
        <v>1.5978331149915266</v>
      </c>
      <c r="AM203" s="9">
        <v>6.0644042305464643</v>
      </c>
      <c r="AN203" s="9">
        <v>9.0662763162161397</v>
      </c>
      <c r="AO203" s="9">
        <v>9.6059767120833985</v>
      </c>
      <c r="AP203" s="9">
        <v>6.3828769062188746</v>
      </c>
      <c r="AQ203" s="9">
        <v>6.1873146688724008</v>
      </c>
      <c r="AR203" s="9">
        <v>1.2786792677661751</v>
      </c>
      <c r="AS203" s="9">
        <v>6.0502057985781743</v>
      </c>
      <c r="AT203" s="9">
        <v>9.3091566106790058</v>
      </c>
      <c r="AU203" s="9">
        <v>14.07179270507655</v>
      </c>
      <c r="AV203" s="9">
        <v>8.8457555535284982</v>
      </c>
      <c r="AW203" s="9">
        <v>2.4726910851520061</v>
      </c>
      <c r="AX203" s="9">
        <v>0.66365621578439826</v>
      </c>
      <c r="AY203" s="9">
        <v>1.6007461249230557</v>
      </c>
      <c r="AZ203" s="9">
        <v>6.1416812839655295</v>
      </c>
      <c r="BA203" s="9">
        <v>9.2473751296350706</v>
      </c>
      <c r="BB203" s="9">
        <v>9.7576802718583497</v>
      </c>
      <c r="BC203" s="9">
        <v>6.3904879096656817</v>
      </c>
      <c r="BD203" s="9">
        <v>6.189506686962182</v>
      </c>
    </row>
    <row r="204" spans="3:56" x14ac:dyDescent="0.25">
      <c r="C204" s="111">
        <v>33.438000000000002</v>
      </c>
      <c r="F204" s="111">
        <v>10.805999999999999</v>
      </c>
      <c r="G204" s="112">
        <v>109</v>
      </c>
      <c r="J204" s="111">
        <v>2225.63</v>
      </c>
      <c r="K204" s="111">
        <v>2112.9899999999998</v>
      </c>
      <c r="L204" s="91">
        <v>7.8689307870016698</v>
      </c>
      <c r="M204" s="12">
        <v>593.68175702111012</v>
      </c>
      <c r="N204" s="11">
        <v>25.598850143934101</v>
      </c>
      <c r="O204" s="11">
        <v>1995.1927542703265</v>
      </c>
      <c r="P204" s="11">
        <v>92.198395585738837</v>
      </c>
      <c r="Q204" s="11">
        <v>2.1734852546487606</v>
      </c>
      <c r="R204" s="11">
        <v>1.3823242707964005</v>
      </c>
      <c r="S204" s="13">
        <v>15.341026516238806</v>
      </c>
      <c r="T204" s="14">
        <v>1026.0862480876024</v>
      </c>
      <c r="U204" s="91">
        <v>7.9629635078349894</v>
      </c>
      <c r="V204" s="12">
        <v>463.94632681080611</v>
      </c>
      <c r="W204" s="11">
        <v>24.409590448841989</v>
      </c>
      <c r="X204" s="11">
        <v>1998.3397001785488</v>
      </c>
      <c r="Y204" s="11">
        <v>90.240709372608663</v>
      </c>
      <c r="Z204" s="11">
        <v>2.1721315013057589</v>
      </c>
      <c r="AA204" s="11">
        <v>1.367680723680198</v>
      </c>
      <c r="AB204" s="13">
        <v>15.57253352694393</v>
      </c>
      <c r="AC204" s="14">
        <v>1026.4370906624863</v>
      </c>
      <c r="AD204" s="15">
        <v>4</v>
      </c>
      <c r="AE204" s="9">
        <v>1.3653332458987699</v>
      </c>
      <c r="AF204" s="9">
        <v>5.9771663860386024</v>
      </c>
      <c r="AG204" s="9">
        <v>9.2041922823263729</v>
      </c>
      <c r="AH204" s="9">
        <v>13.80501493530619</v>
      </c>
      <c r="AI204" s="9">
        <v>8.7635799863792219</v>
      </c>
      <c r="AJ204" s="9">
        <v>2.5207410751852239</v>
      </c>
      <c r="AK204" s="9">
        <v>0.76884776887545214</v>
      </c>
      <c r="AL204" s="9">
        <v>1.596909850854477</v>
      </c>
      <c r="AM204" s="9">
        <v>6.0768900822358392</v>
      </c>
      <c r="AN204" s="9">
        <v>9.1000401237436694</v>
      </c>
      <c r="AO204" s="9">
        <v>9.632863595269983</v>
      </c>
      <c r="AP204" s="9">
        <v>6.3800749596409547</v>
      </c>
      <c r="AQ204" s="9">
        <v>6.1835281948563372</v>
      </c>
      <c r="AR204" s="9">
        <v>1.2789072478849211</v>
      </c>
      <c r="AS204" s="9">
        <v>6.0498546841861094</v>
      </c>
      <c r="AT204" s="9">
        <v>9.3082303236485728</v>
      </c>
      <c r="AU204" s="9">
        <v>14.071224385874524</v>
      </c>
      <c r="AV204" s="9">
        <v>8.8452624281483576</v>
      </c>
      <c r="AW204" s="9">
        <v>2.471972751496752</v>
      </c>
      <c r="AX204" s="9">
        <v>0.66269292392161605</v>
      </c>
      <c r="AY204" s="9">
        <v>1.6005198566249896</v>
      </c>
      <c r="AZ204" s="9">
        <v>6.141253144932568</v>
      </c>
      <c r="BA204" s="9">
        <v>9.2478753831484912</v>
      </c>
      <c r="BB204" s="9">
        <v>9.757475268518224</v>
      </c>
      <c r="BC204" s="9">
        <v>6.3891252384729</v>
      </c>
      <c r="BD204" s="9">
        <v>6.1882238504253806</v>
      </c>
    </row>
    <row r="205" spans="3:56" x14ac:dyDescent="0.25">
      <c r="C205" s="111">
        <v>33.799100000000003</v>
      </c>
      <c r="F205" s="111">
        <v>8.9209999999999994</v>
      </c>
      <c r="G205" s="112">
        <v>170</v>
      </c>
      <c r="J205" s="111">
        <v>2243.75</v>
      </c>
      <c r="K205" s="111">
        <v>2163.61</v>
      </c>
      <c r="L205" s="91">
        <v>7.7922009366281157</v>
      </c>
      <c r="M205" s="12">
        <v>714.72434691558487</v>
      </c>
      <c r="N205" s="11">
        <v>32.736626501869651</v>
      </c>
      <c r="O205" s="11">
        <v>2056.0271077613338</v>
      </c>
      <c r="P205" s="11">
        <v>74.846265736796283</v>
      </c>
      <c r="Q205" s="11">
        <v>1.7396245602466949</v>
      </c>
      <c r="R205" s="11">
        <v>1.1044687081973001</v>
      </c>
      <c r="S205" s="13">
        <v>16.897656230296047</v>
      </c>
      <c r="T205" s="14">
        <v>1026.9634844178433</v>
      </c>
      <c r="U205" s="91">
        <v>7.8586163090531613</v>
      </c>
      <c r="V205" s="12">
        <v>606.89984165697717</v>
      </c>
      <c r="W205" s="11">
        <v>31.862938839261801</v>
      </c>
      <c r="X205" s="11">
        <v>2058.0291385985151</v>
      </c>
      <c r="Y205" s="11">
        <v>73.717922562222711</v>
      </c>
      <c r="Z205" s="11">
        <v>1.7710225049971731</v>
      </c>
      <c r="AA205" s="11">
        <v>1.1159247033613924</v>
      </c>
      <c r="AB205" s="13">
        <v>17.101881941421404</v>
      </c>
      <c r="AC205" s="14">
        <v>1026.7233124701932</v>
      </c>
      <c r="AD205" s="15">
        <v>4</v>
      </c>
      <c r="AE205" s="9">
        <v>1.3391046530074797</v>
      </c>
      <c r="AF205" s="9">
        <v>5.9942060237806682</v>
      </c>
      <c r="AG205" s="9">
        <v>9.2310596357538959</v>
      </c>
      <c r="AH205" s="9">
        <v>13.884052936677289</v>
      </c>
      <c r="AI205" s="9">
        <v>8.7825604915213731</v>
      </c>
      <c r="AJ205" s="9">
        <v>2.5004663251520012</v>
      </c>
      <c r="AK205" s="9">
        <v>0.72847055418232365</v>
      </c>
      <c r="AL205" s="9">
        <v>1.5942855443358324</v>
      </c>
      <c r="AM205" s="9">
        <v>6.0912185724190557</v>
      </c>
      <c r="AN205" s="9">
        <v>9.1446930465157497</v>
      </c>
      <c r="AO205" s="9">
        <v>9.6664674407922373</v>
      </c>
      <c r="AP205" s="9">
        <v>6.369262175701909</v>
      </c>
      <c r="AQ205" s="9">
        <v>6.1719600611914824</v>
      </c>
      <c r="AR205" s="9">
        <v>1.2798311942472009</v>
      </c>
      <c r="AS205" s="9">
        <v>6.0484506195600893</v>
      </c>
      <c r="AT205" s="9">
        <v>9.3044947405721228</v>
      </c>
      <c r="AU205" s="9">
        <v>14.068937331359921</v>
      </c>
      <c r="AV205" s="9">
        <v>8.8432787487219429</v>
      </c>
      <c r="AW205" s="9">
        <v>2.4690707869222441</v>
      </c>
      <c r="AX205" s="9">
        <v>0.65875517862313104</v>
      </c>
      <c r="AY205" s="9">
        <v>1.5996168477339181</v>
      </c>
      <c r="AZ205" s="9">
        <v>6.1395534685262847</v>
      </c>
      <c r="BA205" s="9">
        <v>9.2500334342843225</v>
      </c>
      <c r="BB205" s="9">
        <v>9.7566564680121459</v>
      </c>
      <c r="BC205" s="9">
        <v>6.3836277744929379</v>
      </c>
      <c r="BD205" s="9">
        <v>6.183038586255365</v>
      </c>
    </row>
    <row r="206" spans="3:56" x14ac:dyDescent="0.25">
      <c r="C206" s="111">
        <v>33.983499999999999</v>
      </c>
      <c r="F206" s="111">
        <v>8.0389999999999997</v>
      </c>
      <c r="G206" s="112">
        <v>231</v>
      </c>
      <c r="J206" s="111">
        <v>2261.4899999999998</v>
      </c>
      <c r="K206" s="111">
        <v>2205.73</v>
      </c>
      <c r="L206" s="91">
        <v>7.721646292591112</v>
      </c>
      <c r="M206" s="12">
        <v>848.23531254595048</v>
      </c>
      <c r="N206" s="11">
        <v>39.989013092833645</v>
      </c>
      <c r="O206" s="11">
        <v>2102.3910135763017</v>
      </c>
      <c r="P206" s="11">
        <v>63.349973330864415</v>
      </c>
      <c r="Q206" s="11">
        <v>1.4535276398204531</v>
      </c>
      <c r="R206" s="11">
        <v>0.92256017383946542</v>
      </c>
      <c r="S206" s="13">
        <v>17.925639222479006</v>
      </c>
      <c r="T206" s="14">
        <v>1027.5234827392205</v>
      </c>
      <c r="U206" s="91">
        <v>7.7763693986338867</v>
      </c>
      <c r="V206" s="12">
        <v>749.34843799546968</v>
      </c>
      <c r="W206" s="11">
        <v>39.298935613315933</v>
      </c>
      <c r="X206" s="11">
        <v>2103.8020253402938</v>
      </c>
      <c r="Y206" s="11">
        <v>62.629039046390226</v>
      </c>
      <c r="Z206" s="11">
        <v>1.5031335983098182</v>
      </c>
      <c r="AA206" s="11">
        <v>0.94745979870870256</v>
      </c>
      <c r="AB206" s="13">
        <v>18.106202575101957</v>
      </c>
      <c r="AC206" s="14">
        <v>1026.8694895078352</v>
      </c>
      <c r="AD206" s="15">
        <v>4</v>
      </c>
      <c r="AE206" s="9">
        <v>1.3265756623270026</v>
      </c>
      <c r="AF206" s="9">
        <v>6.0008734871616429</v>
      </c>
      <c r="AG206" s="9">
        <v>9.2426133477441912</v>
      </c>
      <c r="AH206" s="9">
        <v>13.920310081780881</v>
      </c>
      <c r="AI206" s="9">
        <v>8.7897755290047765</v>
      </c>
      <c r="AJ206" s="9">
        <v>2.4901922169352417</v>
      </c>
      <c r="AK206" s="9">
        <v>0.70794695146897146</v>
      </c>
      <c r="AL206" s="9">
        <v>1.5923350761178845</v>
      </c>
      <c r="AM206" s="9">
        <v>6.096831138973128</v>
      </c>
      <c r="AN206" s="9">
        <v>9.1645219652093708</v>
      </c>
      <c r="AO206" s="9">
        <v>9.6807327098195941</v>
      </c>
      <c r="AP206" s="9">
        <v>6.3612906713879616</v>
      </c>
      <c r="AQ206" s="9">
        <v>6.1638620793398244</v>
      </c>
      <c r="AR206" s="9">
        <v>1.2803030184211261</v>
      </c>
      <c r="AS206" s="9">
        <v>6.0477453177070704</v>
      </c>
      <c r="AT206" s="9">
        <v>9.302598519384782</v>
      </c>
      <c r="AU206" s="9">
        <v>14.067779350285372</v>
      </c>
      <c r="AV206" s="9">
        <v>8.8422748872368775</v>
      </c>
      <c r="AW206" s="9">
        <v>2.4675945392084584</v>
      </c>
      <c r="AX206" s="9">
        <v>0.65672292341129501</v>
      </c>
      <c r="AY206" s="9">
        <v>1.5991642968188235</v>
      </c>
      <c r="AZ206" s="9">
        <v>6.1387072463684191</v>
      </c>
      <c r="BA206" s="9">
        <v>9.251215550457804</v>
      </c>
      <c r="BB206" s="9">
        <v>9.7562457078160953</v>
      </c>
      <c r="BC206" s="9">
        <v>6.3808356474028418</v>
      </c>
      <c r="BD206" s="9">
        <v>6.1803988567199184</v>
      </c>
    </row>
    <row r="207" spans="3:56" x14ac:dyDescent="0.25">
      <c r="C207" s="111">
        <v>34.0702</v>
      </c>
      <c r="F207" s="111">
        <v>6.9950000000000001</v>
      </c>
      <c r="G207" s="112">
        <v>322</v>
      </c>
      <c r="J207" s="111">
        <v>2280.0500000000002</v>
      </c>
      <c r="K207" s="111">
        <v>2258.85</v>
      </c>
      <c r="L207" s="91">
        <v>7.615277282933171</v>
      </c>
      <c r="M207" s="12">
        <v>1091.8622608724918</v>
      </c>
      <c r="N207" s="11">
        <v>53.333883029248391</v>
      </c>
      <c r="O207" s="11">
        <v>2156.3309741252706</v>
      </c>
      <c r="P207" s="11">
        <v>49.185142845480755</v>
      </c>
      <c r="Q207" s="11">
        <v>1.1079419591100854</v>
      </c>
      <c r="R207" s="11">
        <v>0.7030282515990568</v>
      </c>
      <c r="S207" s="13">
        <v>18.799784271240032</v>
      </c>
      <c r="T207" s="14">
        <v>1028.1612891155039</v>
      </c>
      <c r="U207" s="91">
        <v>7.6574560345094049</v>
      </c>
      <c r="V207" s="12">
        <v>1010.0211636110247</v>
      </c>
      <c r="W207" s="11">
        <v>52.942642747539438</v>
      </c>
      <c r="X207" s="11">
        <v>2156.975509095138</v>
      </c>
      <c r="Y207" s="11">
        <v>48.931848157322086</v>
      </c>
      <c r="Z207" s="11">
        <v>1.1738449367284227</v>
      </c>
      <c r="AA207" s="11">
        <v>0.74002083779599603</v>
      </c>
      <c r="AB207" s="13">
        <v>18.912027200183079</v>
      </c>
      <c r="AC207" s="14">
        <v>1026.9382214895991</v>
      </c>
      <c r="AD207" s="15">
        <v>4</v>
      </c>
      <c r="AE207" s="9">
        <v>1.3111646511966026</v>
      </c>
      <c r="AF207" s="9">
        <v>6.0085650657657688</v>
      </c>
      <c r="AG207" s="9">
        <v>9.2571587671769677</v>
      </c>
      <c r="AH207" s="9">
        <v>13.963822831983556</v>
      </c>
      <c r="AI207" s="9">
        <v>8.7981144836000365</v>
      </c>
      <c r="AJ207" s="9">
        <v>2.4786802078386438</v>
      </c>
      <c r="AK207" s="9">
        <v>0.68405196637912302</v>
      </c>
      <c r="AL207" s="9">
        <v>1.5899739807653051</v>
      </c>
      <c r="AM207" s="9">
        <v>6.1035426318682449</v>
      </c>
      <c r="AN207" s="9">
        <v>9.186563569203777</v>
      </c>
      <c r="AO207" s="9">
        <v>9.6971221426811667</v>
      </c>
      <c r="AP207" s="9">
        <v>6.3521903084496323</v>
      </c>
      <c r="AQ207" s="9">
        <v>6.1546460762538553</v>
      </c>
      <c r="AR207" s="9">
        <v>1.2805248576612527</v>
      </c>
      <c r="AS207" s="9">
        <v>6.0474164367433731</v>
      </c>
      <c r="AT207" s="9">
        <v>9.3017096291537129</v>
      </c>
      <c r="AU207" s="9">
        <v>14.067237197017391</v>
      </c>
      <c r="AV207" s="9">
        <v>8.8418050193792119</v>
      </c>
      <c r="AW207" s="9">
        <v>2.4669017597714249</v>
      </c>
      <c r="AX207" s="9">
        <v>0.65576229360147409</v>
      </c>
      <c r="AY207" s="9">
        <v>1.5989535058273165</v>
      </c>
      <c r="AZ207" s="9">
        <v>6.1383144071534721</v>
      </c>
      <c r="BA207" s="9">
        <v>9.2517898882246019</v>
      </c>
      <c r="BB207" s="9">
        <v>9.7560542848894798</v>
      </c>
      <c r="BC207" s="9">
        <v>6.3795263471525558</v>
      </c>
      <c r="BD207" s="9">
        <v>6.1791595650816005</v>
      </c>
    </row>
    <row r="208" spans="3:56" x14ac:dyDescent="0.25">
      <c r="C208" s="111">
        <v>34.303100000000001</v>
      </c>
      <c r="F208" s="111">
        <v>5.891</v>
      </c>
      <c r="G208" s="112">
        <v>515</v>
      </c>
      <c r="J208" s="112">
        <v>2320</v>
      </c>
      <c r="K208" s="111">
        <v>2319.3200000000002</v>
      </c>
      <c r="L208" s="91">
        <v>7.5516519735759395</v>
      </c>
      <c r="M208" s="12">
        <v>1259.3029601668184</v>
      </c>
      <c r="N208" s="11">
        <v>63.855910269466577</v>
      </c>
      <c r="O208" s="11">
        <v>2212.9694422869652</v>
      </c>
      <c r="P208" s="11">
        <v>42.494647443568311</v>
      </c>
      <c r="Q208" s="11">
        <v>0.92013354348732068</v>
      </c>
      <c r="R208" s="11">
        <v>0.58459385332135028</v>
      </c>
      <c r="S208" s="13">
        <v>18.905463182260267</v>
      </c>
      <c r="T208" s="14">
        <v>1029.380415191463</v>
      </c>
      <c r="U208" s="91">
        <v>7.585921827103812</v>
      </c>
      <c r="V208" s="12">
        <v>1220.8032967235504</v>
      </c>
      <c r="W208" s="11">
        <v>63.90353965406991</v>
      </c>
      <c r="X208" s="11">
        <v>2212.6112450851574</v>
      </c>
      <c r="Y208" s="11">
        <v>42.805215260773032</v>
      </c>
      <c r="Z208" s="11">
        <v>1.0255768249182016</v>
      </c>
      <c r="AA208" s="11">
        <v>0.64682123009509929</v>
      </c>
      <c r="AB208" s="13">
        <v>18.892426398042922</v>
      </c>
      <c r="AC208" s="14">
        <v>1027.1228653121134</v>
      </c>
      <c r="AD208" s="15">
        <v>4</v>
      </c>
      <c r="AE208" s="9">
        <v>1.2949291240622569</v>
      </c>
      <c r="AF208" s="9">
        <v>6.0118776567161669</v>
      </c>
      <c r="AG208" s="9">
        <v>9.2682931601329699</v>
      </c>
      <c r="AH208" s="9">
        <v>14.005935146801843</v>
      </c>
      <c r="AI208" s="9">
        <v>8.8010767655393138</v>
      </c>
      <c r="AJ208" s="9">
        <v>2.4635513498805852</v>
      </c>
      <c r="AK208" s="9">
        <v>0.65369317117202685</v>
      </c>
      <c r="AL208" s="9">
        <v>1.5847263045898534</v>
      </c>
      <c r="AM208" s="9">
        <v>6.1062361705905488</v>
      </c>
      <c r="AN208" s="9">
        <v>9.2064129734285043</v>
      </c>
      <c r="AO208" s="9">
        <v>9.7092032556653738</v>
      </c>
      <c r="AP208" s="9">
        <v>6.3320651818745874</v>
      </c>
      <c r="AQ208" s="9">
        <v>6.1350685633504707</v>
      </c>
      <c r="AR208" s="9">
        <v>1.2811207787572789</v>
      </c>
      <c r="AS208" s="9">
        <v>6.0465416264890139</v>
      </c>
      <c r="AT208" s="9">
        <v>9.2993302569746472</v>
      </c>
      <c r="AU208" s="9">
        <v>14.065788050745816</v>
      </c>
      <c r="AV208" s="9">
        <v>8.8405495142934694</v>
      </c>
      <c r="AW208" s="9">
        <v>2.465044890691126</v>
      </c>
      <c r="AX208" s="9">
        <v>0.6531652800933645</v>
      </c>
      <c r="AY208" s="9">
        <v>1.5983935078288063</v>
      </c>
      <c r="AZ208" s="9">
        <v>6.1372749514123992</v>
      </c>
      <c r="BA208" s="9">
        <v>9.2533909913461425</v>
      </c>
      <c r="BB208" s="9">
        <v>9.755545430990793</v>
      </c>
      <c r="BC208" s="9">
        <v>6.3760200622305874</v>
      </c>
      <c r="BD208" s="9">
        <v>6.1758361297173456</v>
      </c>
    </row>
    <row r="209" spans="3:56" x14ac:dyDescent="0.25">
      <c r="C209" s="111">
        <v>33.418799999999997</v>
      </c>
      <c r="F209" s="111">
        <v>17.440999999999999</v>
      </c>
      <c r="G209" s="112">
        <v>2</v>
      </c>
      <c r="J209" s="111">
        <v>2237.0300000000002</v>
      </c>
      <c r="K209" s="111">
        <v>2010.15</v>
      </c>
      <c r="L209" s="91">
        <v>8.0453842075623534</v>
      </c>
      <c r="M209" s="12">
        <v>384.19024805777349</v>
      </c>
      <c r="N209" s="11">
        <v>13.504220642739606</v>
      </c>
      <c r="O209" s="11">
        <v>1833.3603260061632</v>
      </c>
      <c r="P209" s="11">
        <v>163.28545335109717</v>
      </c>
      <c r="Q209" s="11">
        <v>3.9390360118224539</v>
      </c>
      <c r="R209" s="11">
        <v>2.5366204841097306</v>
      </c>
      <c r="S209" s="13">
        <v>11.128080910630393</v>
      </c>
      <c r="T209" s="14">
        <v>1024.2062129155597</v>
      </c>
      <c r="U209" s="91">
        <v>8.2421982177859086</v>
      </c>
      <c r="V209" s="12">
        <v>224.63901331427056</v>
      </c>
      <c r="W209" s="11">
        <v>11.820260887003846</v>
      </c>
      <c r="X209" s="11">
        <v>1840.327393920147</v>
      </c>
      <c r="Y209" s="11">
        <v>158.00234519284916</v>
      </c>
      <c r="Z209" s="11">
        <v>3.8035675549335513</v>
      </c>
      <c r="AA209" s="11">
        <v>2.3948186758012766</v>
      </c>
      <c r="AB209" s="13">
        <v>11.316683246642754</v>
      </c>
      <c r="AC209" s="14">
        <v>1026.4218730446744</v>
      </c>
      <c r="AD209" s="15">
        <v>4</v>
      </c>
      <c r="AE209" s="9">
        <v>1.4540768117326475</v>
      </c>
      <c r="AF209" s="9">
        <v>5.9126059037868535</v>
      </c>
      <c r="AG209" s="9">
        <v>9.0956845401602955</v>
      </c>
      <c r="AH209" s="9">
        <v>13.525668249494677</v>
      </c>
      <c r="AI209" s="9">
        <v>8.6867000809770776</v>
      </c>
      <c r="AJ209" s="9">
        <v>2.5783899468268237</v>
      </c>
      <c r="AK209" s="9">
        <v>0.88889121870406518</v>
      </c>
      <c r="AL209" s="9">
        <v>1.6025353574766035</v>
      </c>
      <c r="AM209" s="9">
        <v>6.021610544671951</v>
      </c>
      <c r="AN209" s="9">
        <v>8.9485701224537149</v>
      </c>
      <c r="AO209" s="9">
        <v>9.512462597063994</v>
      </c>
      <c r="AP209" s="9">
        <v>6.3903335222016473</v>
      </c>
      <c r="AQ209" s="9">
        <v>6.1991990661398129</v>
      </c>
      <c r="AR209" s="9">
        <v>1.2788581208559653</v>
      </c>
      <c r="AS209" s="9">
        <v>6.0499301890301052</v>
      </c>
      <c r="AT209" s="9">
        <v>9.3084297754442495</v>
      </c>
      <c r="AU209" s="9">
        <v>14.071346717457359</v>
      </c>
      <c r="AV209" s="9">
        <v>8.8453685679778058</v>
      </c>
      <c r="AW209" s="9">
        <v>2.4721274670194457</v>
      </c>
      <c r="AX209" s="9">
        <v>0.66290077663353808</v>
      </c>
      <c r="AY209" s="9">
        <v>1.6005684985433069</v>
      </c>
      <c r="AZ209" s="9">
        <v>6.1413451094110139</v>
      </c>
      <c r="BA209" s="9">
        <v>9.247766499705449</v>
      </c>
      <c r="BB209" s="9">
        <v>9.7575193444560515</v>
      </c>
      <c r="BC209" s="9">
        <v>6.389418668295141</v>
      </c>
      <c r="BD209" s="9">
        <v>6.1885001704550691</v>
      </c>
    </row>
    <row r="210" spans="3:56" x14ac:dyDescent="0.25">
      <c r="C210" s="111">
        <v>33.241</v>
      </c>
      <c r="F210" s="111">
        <v>16.611999999999998</v>
      </c>
      <c r="G210" s="112">
        <v>26</v>
      </c>
      <c r="J210" s="111">
        <v>2224.15</v>
      </c>
      <c r="K210" s="111">
        <v>2005.1</v>
      </c>
      <c r="L210" s="91">
        <v>8.0452448823782436</v>
      </c>
      <c r="M210" s="12">
        <v>381.66828886038616</v>
      </c>
      <c r="N210" s="11">
        <v>13.758623264794267</v>
      </c>
      <c r="O210" s="11">
        <v>1833.6066981893771</v>
      </c>
      <c r="P210" s="11">
        <v>157.73467854582822</v>
      </c>
      <c r="Q210" s="11">
        <v>3.791845076509202</v>
      </c>
      <c r="R210" s="11">
        <v>2.4369007336694453</v>
      </c>
      <c r="S210" s="13">
        <v>11.318462761984117</v>
      </c>
      <c r="T210" s="14">
        <v>1024.370939319301</v>
      </c>
      <c r="U210" s="91">
        <v>8.2298929971576662</v>
      </c>
      <c r="V210" s="12">
        <v>231.18765067986217</v>
      </c>
      <c r="W210" s="11">
        <v>12.177592794339455</v>
      </c>
      <c r="X210" s="11">
        <v>1840.0133475733724</v>
      </c>
      <c r="Y210" s="11">
        <v>152.90905963228786</v>
      </c>
      <c r="Z210" s="11">
        <v>3.6844004231442771</v>
      </c>
      <c r="AA210" s="11">
        <v>2.3189289295929756</v>
      </c>
      <c r="AB210" s="13">
        <v>11.501008348588099</v>
      </c>
      <c r="AC210" s="14">
        <v>1026.2809565370283</v>
      </c>
      <c r="AD210" s="15">
        <v>4</v>
      </c>
      <c r="AE210" s="9">
        <v>1.4431110987567466</v>
      </c>
      <c r="AF210" s="9">
        <v>5.920513674677327</v>
      </c>
      <c r="AG210" s="9">
        <v>9.1106238840956735</v>
      </c>
      <c r="AH210" s="9">
        <v>13.560630928388623</v>
      </c>
      <c r="AI210" s="9">
        <v>8.6966286740876377</v>
      </c>
      <c r="AJ210" s="9">
        <v>2.5725847166406552</v>
      </c>
      <c r="AK210" s="9">
        <v>0.87557369926891748</v>
      </c>
      <c r="AL210" s="9">
        <v>1.6019601908345669</v>
      </c>
      <c r="AM210" s="9">
        <v>6.0286643067208505</v>
      </c>
      <c r="AN210" s="9">
        <v>8.9661654338435781</v>
      </c>
      <c r="AO210" s="9">
        <v>9.5268890351081481</v>
      </c>
      <c r="AP210" s="9">
        <v>6.3911312381752658</v>
      </c>
      <c r="AQ210" s="9">
        <v>6.1991184918307676</v>
      </c>
      <c r="AR210" s="9">
        <v>1.2784031840982437</v>
      </c>
      <c r="AS210" s="9">
        <v>6.0506334713559875</v>
      </c>
      <c r="AT210" s="9">
        <v>9.3102807531074507</v>
      </c>
      <c r="AU210" s="9">
        <v>14.072483075058411</v>
      </c>
      <c r="AV210" s="9">
        <v>8.8463546771103783</v>
      </c>
      <c r="AW210" s="9">
        <v>2.4735622079895463</v>
      </c>
      <c r="AX210" s="9">
        <v>0.66481844124820888</v>
      </c>
      <c r="AY210" s="9">
        <v>1.6010219814358855</v>
      </c>
      <c r="AZ210" s="9">
        <v>6.1422044357040901</v>
      </c>
      <c r="BA210" s="9">
        <v>9.2467865489837955</v>
      </c>
      <c r="BB210" s="9">
        <v>9.757930116717592</v>
      </c>
      <c r="BC210" s="9">
        <v>6.3921414442200808</v>
      </c>
      <c r="BD210" s="9">
        <v>6.1910620593189485</v>
      </c>
    </row>
    <row r="211" spans="3:56" x14ac:dyDescent="0.25">
      <c r="C211" s="111">
        <v>33.142699999999998</v>
      </c>
      <c r="F211" s="111">
        <v>16.210999999999999</v>
      </c>
      <c r="G211" s="112">
        <v>49</v>
      </c>
      <c r="J211" s="111">
        <v>2218.08</v>
      </c>
      <c r="K211" s="111">
        <v>2002.36</v>
      </c>
      <c r="L211" s="91">
        <v>8.0457366561575316</v>
      </c>
      <c r="M211" s="12">
        <v>379.43367997472149</v>
      </c>
      <c r="N211" s="11">
        <v>13.84892648956132</v>
      </c>
      <c r="O211" s="11">
        <v>1833.1746450757462</v>
      </c>
      <c r="P211" s="11">
        <v>155.33642843469238</v>
      </c>
      <c r="Q211" s="11">
        <v>3.7210082159167284</v>
      </c>
      <c r="R211" s="11">
        <v>2.3893376937233288</v>
      </c>
      <c r="S211" s="13">
        <v>11.402756769935904</v>
      </c>
      <c r="T211" s="14">
        <v>1024.4894243082774</v>
      </c>
      <c r="U211" s="91">
        <v>8.2249231143790471</v>
      </c>
      <c r="V211" s="12">
        <v>233.83131635234798</v>
      </c>
      <c r="W211" s="11">
        <v>12.323980730176984</v>
      </c>
      <c r="X211" s="11">
        <v>1839.2834893125864</v>
      </c>
      <c r="Y211" s="11">
        <v>150.75252995723645</v>
      </c>
      <c r="Z211" s="11">
        <v>3.6343073684036922</v>
      </c>
      <c r="AA211" s="11">
        <v>2.2869223994210284</v>
      </c>
      <c r="AB211" s="13">
        <v>11.581349996888607</v>
      </c>
      <c r="AC211" s="14">
        <v>1026.2030520945416</v>
      </c>
      <c r="AD211" s="15">
        <v>4</v>
      </c>
      <c r="AE211" s="9">
        <v>1.4377197678650067</v>
      </c>
      <c r="AF211" s="9">
        <v>5.9239489243644492</v>
      </c>
      <c r="AG211" s="9">
        <v>9.1176671825386784</v>
      </c>
      <c r="AH211" s="9">
        <v>13.577335646100511</v>
      </c>
      <c r="AI211" s="9">
        <v>8.7009523270675384</v>
      </c>
      <c r="AJ211" s="9">
        <v>2.5696547605951094</v>
      </c>
      <c r="AK211" s="9">
        <v>0.86884021146362567</v>
      </c>
      <c r="AL211" s="9">
        <v>1.6014766497383233</v>
      </c>
      <c r="AM211" s="9">
        <v>6.0317597147454141</v>
      </c>
      <c r="AN211" s="9">
        <v>8.9741788561419273</v>
      </c>
      <c r="AO211" s="9">
        <v>9.5333839031466763</v>
      </c>
      <c r="AP211" s="9">
        <v>6.3908813462959104</v>
      </c>
      <c r="AQ211" s="9">
        <v>6.1984982518542626</v>
      </c>
      <c r="AR211" s="9">
        <v>1.2781516639447899</v>
      </c>
      <c r="AS211" s="9">
        <v>6.0510254526248151</v>
      </c>
      <c r="AT211" s="9">
        <v>9.3113071774294074</v>
      </c>
      <c r="AU211" s="9">
        <v>14.073114067897869</v>
      </c>
      <c r="AV211" s="9">
        <v>8.8469023596651564</v>
      </c>
      <c r="AW211" s="9">
        <v>2.474356996186172</v>
      </c>
      <c r="AX211" s="9">
        <v>0.66587319093791897</v>
      </c>
      <c r="AY211" s="9">
        <v>1.6012750626307821</v>
      </c>
      <c r="AZ211" s="9">
        <v>6.1426855205574142</v>
      </c>
      <c r="BA211" s="9">
        <v>9.2462668341846541</v>
      </c>
      <c r="BB211" s="9">
        <v>9.7581592518707403</v>
      </c>
      <c r="BC211" s="9">
        <v>6.3936510781185154</v>
      </c>
      <c r="BD211" s="9">
        <v>6.1924808517509966</v>
      </c>
    </row>
    <row r="212" spans="3:56" x14ac:dyDescent="0.25">
      <c r="C212" s="111">
        <v>33.037999999999997</v>
      </c>
      <c r="F212" s="111">
        <v>10.599</v>
      </c>
      <c r="G212" s="112">
        <v>100</v>
      </c>
      <c r="J212" s="111">
        <v>2204.02</v>
      </c>
      <c r="K212" s="111">
        <v>2071.77</v>
      </c>
      <c r="L212" s="91">
        <v>7.9339530641770928</v>
      </c>
      <c r="M212" s="12">
        <v>499.29492459891583</v>
      </c>
      <c r="N212" s="11">
        <v>21.724904936397664</v>
      </c>
      <c r="O212" s="11">
        <v>1947.4239489043237</v>
      </c>
      <c r="P212" s="11">
        <v>102.62114615927842</v>
      </c>
      <c r="Q212" s="11">
        <v>2.4286673072428884</v>
      </c>
      <c r="R212" s="11">
        <v>1.5426049694308415</v>
      </c>
      <c r="S212" s="13">
        <v>14.452505546730141</v>
      </c>
      <c r="T212" s="14">
        <v>1025.7708843618693</v>
      </c>
      <c r="U212" s="91">
        <v>8.0253642820587405</v>
      </c>
      <c r="V212" s="12">
        <v>392.71479690708895</v>
      </c>
      <c r="W212" s="11">
        <v>20.710638920650961</v>
      </c>
      <c r="X212" s="11">
        <v>1950.3490833985791</v>
      </c>
      <c r="Y212" s="11">
        <v>100.71027768076958</v>
      </c>
      <c r="Z212" s="11">
        <v>2.4292266087723351</v>
      </c>
      <c r="AA212" s="11">
        <v>1.5282681657213302</v>
      </c>
      <c r="AB212" s="13">
        <v>14.630083047078182</v>
      </c>
      <c r="AC212" s="14">
        <v>1026.1200785354488</v>
      </c>
      <c r="AD212" s="15">
        <v>4</v>
      </c>
      <c r="AE212" s="9">
        <v>1.3613992666710415</v>
      </c>
      <c r="AF212" s="9">
        <v>5.981450442379165</v>
      </c>
      <c r="AG212" s="9">
        <v>9.2121767098062879</v>
      </c>
      <c r="AH212" s="9">
        <v>13.817190600604485</v>
      </c>
      <c r="AI212" s="9">
        <v>8.7689444449705789</v>
      </c>
      <c r="AJ212" s="9">
        <v>2.5223633627671678</v>
      </c>
      <c r="AK212" s="9">
        <v>0.76909779909935039</v>
      </c>
      <c r="AL212" s="9">
        <v>1.5982467500085737</v>
      </c>
      <c r="AM212" s="9">
        <v>6.081365529369446</v>
      </c>
      <c r="AN212" s="9">
        <v>9.1038254549362652</v>
      </c>
      <c r="AO212" s="9">
        <v>9.6383745594756682</v>
      </c>
      <c r="AP212" s="9">
        <v>6.3869993354957559</v>
      </c>
      <c r="AQ212" s="9">
        <v>6.1898860348500389</v>
      </c>
      <c r="AR212" s="9">
        <v>1.2778837681150177</v>
      </c>
      <c r="AS212" s="9">
        <v>6.0514454285349206</v>
      </c>
      <c r="AT212" s="9">
        <v>9.3124028391973859</v>
      </c>
      <c r="AU212" s="9">
        <v>14.073788298081285</v>
      </c>
      <c r="AV212" s="9">
        <v>8.8474876599130798</v>
      </c>
      <c r="AW212" s="9">
        <v>2.4752047636195003</v>
      </c>
      <c r="AX212" s="9">
        <v>0.66699239665928856</v>
      </c>
      <c r="AY212" s="9">
        <v>1.6015464837095494</v>
      </c>
      <c r="AZ212" s="9">
        <v>6.1432026455063484</v>
      </c>
      <c r="BA212" s="9">
        <v>9.2457306641911696</v>
      </c>
      <c r="BB212" s="9">
        <v>9.7584049060683036</v>
      </c>
      <c r="BC212" s="9">
        <v>6.3952624058216143</v>
      </c>
      <c r="BD212" s="9">
        <v>6.193993942980752</v>
      </c>
    </row>
    <row r="213" spans="3:56" x14ac:dyDescent="0.25">
      <c r="C213" s="111">
        <v>33.754399999999997</v>
      </c>
      <c r="F213" s="111">
        <v>8.9990000000000006</v>
      </c>
      <c r="G213" s="112">
        <v>170</v>
      </c>
      <c r="J213" s="111">
        <v>2238.25</v>
      </c>
      <c r="K213" s="111">
        <v>2163.75</v>
      </c>
      <c r="L213" s="91">
        <v>7.7740328339421705</v>
      </c>
      <c r="M213" s="12">
        <v>746.38369356444559</v>
      </c>
      <c r="N213" s="11">
        <v>34.105932036927641</v>
      </c>
      <c r="O213" s="11">
        <v>2057.6606095531702</v>
      </c>
      <c r="P213" s="11">
        <v>71.983458409901928</v>
      </c>
      <c r="Q213" s="11">
        <v>1.6735691015690368</v>
      </c>
      <c r="R213" s="11">
        <v>1.0625723345678837</v>
      </c>
      <c r="S213" s="13">
        <v>17.122392063927929</v>
      </c>
      <c r="T213" s="14">
        <v>1026.915965506854</v>
      </c>
      <c r="U213" s="91">
        <v>7.8413825830871868</v>
      </c>
      <c r="V213" s="12">
        <v>632.07118579198459</v>
      </c>
      <c r="W213" s="11">
        <v>33.193203784565981</v>
      </c>
      <c r="X213" s="11">
        <v>2059.7237372553</v>
      </c>
      <c r="Y213" s="11">
        <v>70.833058960133826</v>
      </c>
      <c r="Z213" s="11">
        <v>1.7021217174996885</v>
      </c>
      <c r="AA213" s="11">
        <v>1.0724171884847253</v>
      </c>
      <c r="AB213" s="13">
        <v>17.342334821158094</v>
      </c>
      <c r="AC213" s="14">
        <v>1026.687879493847</v>
      </c>
      <c r="AD213" s="15">
        <v>4</v>
      </c>
      <c r="AE213" s="9">
        <v>1.3401322203975934</v>
      </c>
      <c r="AF213" s="9">
        <v>5.9934890124226659</v>
      </c>
      <c r="AG213" s="9">
        <v>9.2301738694802768</v>
      </c>
      <c r="AH213" s="9">
        <v>13.880860482186488</v>
      </c>
      <c r="AI213" s="9">
        <v>8.7818009601416129</v>
      </c>
      <c r="AJ213" s="9">
        <v>2.5015018215609661</v>
      </c>
      <c r="AK213" s="9">
        <v>0.73037884192714286</v>
      </c>
      <c r="AL213" s="9">
        <v>1.5944040118790384</v>
      </c>
      <c r="AM213" s="9">
        <v>6.0906543123075272</v>
      </c>
      <c r="AN213" s="9">
        <v>9.1425518230026643</v>
      </c>
      <c r="AO213" s="9">
        <v>9.6649972600012024</v>
      </c>
      <c r="AP213" s="9">
        <v>6.3699624666796977</v>
      </c>
      <c r="AQ213" s="9">
        <v>6.1726773219299176</v>
      </c>
      <c r="AR213" s="9">
        <v>1.2797168203829146</v>
      </c>
      <c r="AS213" s="9">
        <v>6.0486227812720328</v>
      </c>
      <c r="AT213" s="9">
        <v>9.3049555597084144</v>
      </c>
      <c r="AU213" s="9">
        <v>14.069219041264082</v>
      </c>
      <c r="AV213" s="9">
        <v>8.843523019315187</v>
      </c>
      <c r="AW213" s="9">
        <v>2.4694292158223732</v>
      </c>
      <c r="AX213" s="9">
        <v>0.65924560900003837</v>
      </c>
      <c r="AY213" s="9">
        <v>1.599727419148588</v>
      </c>
      <c r="AZ213" s="9">
        <v>6.1397608020651466</v>
      </c>
      <c r="BA213" s="9">
        <v>9.2497549947452455</v>
      </c>
      <c r="BB213" s="9">
        <v>9.7567567861972844</v>
      </c>
      <c r="BC213" s="9">
        <v>6.3843061414285049</v>
      </c>
      <c r="BD213" s="9">
        <v>6.1836792946337802</v>
      </c>
    </row>
    <row r="214" spans="3:56" x14ac:dyDescent="0.25">
      <c r="C214" s="111">
        <v>33.975499999999997</v>
      </c>
      <c r="F214" s="111">
        <v>8.2289999999999992</v>
      </c>
      <c r="G214" s="112">
        <v>231</v>
      </c>
      <c r="J214" s="111">
        <v>2261.23</v>
      </c>
      <c r="K214" s="111">
        <v>2197.6</v>
      </c>
      <c r="L214" s="91">
        <v>7.7446836594751192</v>
      </c>
      <c r="M214" s="12">
        <v>801.9996763716515</v>
      </c>
      <c r="N214" s="11">
        <v>37.56673796440851</v>
      </c>
      <c r="O214" s="11">
        <v>2093.035948782408</v>
      </c>
      <c r="P214" s="11">
        <v>66.997313253182995</v>
      </c>
      <c r="Q214" s="11">
        <v>1.5374190600676498</v>
      </c>
      <c r="R214" s="11">
        <v>0.97607291220576342</v>
      </c>
      <c r="S214" s="13">
        <v>17.63269315708061</v>
      </c>
      <c r="T214" s="14">
        <v>1027.4879189219903</v>
      </c>
      <c r="U214" s="91">
        <v>7.8024989584977122</v>
      </c>
      <c r="V214" s="12">
        <v>702.50546839900449</v>
      </c>
      <c r="W214" s="11">
        <v>36.844032809704892</v>
      </c>
      <c r="X214" s="11">
        <v>2094.5482368817075</v>
      </c>
      <c r="Y214" s="11">
        <v>66.207730308587458</v>
      </c>
      <c r="Z214" s="11">
        <v>1.5890926145373383</v>
      </c>
      <c r="AA214" s="11">
        <v>1.0016267295748409</v>
      </c>
      <c r="AB214" s="13">
        <v>17.815438569100138</v>
      </c>
      <c r="AC214" s="14">
        <v>1026.8631475665027</v>
      </c>
      <c r="AD214" s="15">
        <v>4</v>
      </c>
      <c r="AE214" s="9">
        <v>1.3293707074619925</v>
      </c>
      <c r="AF214" s="9">
        <v>5.9987104574527308</v>
      </c>
      <c r="AG214" s="9">
        <v>9.2394029602308212</v>
      </c>
      <c r="AH214" s="9">
        <v>13.911798734423655</v>
      </c>
      <c r="AI214" s="9">
        <v>8.7873528554942375</v>
      </c>
      <c r="AJ214" s="9">
        <v>2.4919154510916011</v>
      </c>
      <c r="AK214" s="9">
        <v>0.71164118062771387</v>
      </c>
      <c r="AL214" s="9">
        <v>1.5923372504340438</v>
      </c>
      <c r="AM214" s="9">
        <v>6.0949244714581443</v>
      </c>
      <c r="AN214" s="9">
        <v>9.1598032103806855</v>
      </c>
      <c r="AO214" s="9">
        <v>9.6768852558510154</v>
      </c>
      <c r="AP214" s="9">
        <v>6.3614509358429272</v>
      </c>
      <c r="AQ214" s="9">
        <v>6.1641409354146335</v>
      </c>
      <c r="AR214" s="9">
        <v>1.2802825488257281</v>
      </c>
      <c r="AS214" s="9">
        <v>6.0477757523727798</v>
      </c>
      <c r="AT214" s="9">
        <v>9.3026806250664897</v>
      </c>
      <c r="AU214" s="9">
        <v>14.067829449864615</v>
      </c>
      <c r="AV214" s="9">
        <v>8.8423183112487891</v>
      </c>
      <c r="AW214" s="9">
        <v>2.4676585057052951</v>
      </c>
      <c r="AX214" s="9">
        <v>0.65681139685472811</v>
      </c>
      <c r="AY214" s="9">
        <v>1.5991838108303005</v>
      </c>
      <c r="AZ214" s="9">
        <v>6.138743656281572</v>
      </c>
      <c r="BA214" s="9">
        <v>9.251163151018492</v>
      </c>
      <c r="BB214" s="9">
        <v>9.756263425661599</v>
      </c>
      <c r="BC214" s="9">
        <v>6.3809565710794471</v>
      </c>
      <c r="BD214" s="9">
        <v>6.1805132675200127</v>
      </c>
    </row>
    <row r="215" spans="3:56" x14ac:dyDescent="0.25">
      <c r="C215" s="111">
        <v>34.069499999999998</v>
      </c>
      <c r="F215" s="111">
        <v>7.2290000000000001</v>
      </c>
      <c r="G215" s="112">
        <v>320</v>
      </c>
      <c r="J215" s="111">
        <v>2280.35</v>
      </c>
      <c r="K215" s="111">
        <v>2279.66</v>
      </c>
      <c r="L215" s="91">
        <v>7.541747015116175</v>
      </c>
      <c r="M215" s="12">
        <v>1306.5894405571362</v>
      </c>
      <c r="N215" s="11">
        <v>63.306615548946212</v>
      </c>
      <c r="O215" s="11">
        <v>2174.0987689191297</v>
      </c>
      <c r="P215" s="11">
        <v>42.254615531924046</v>
      </c>
      <c r="Q215" s="11">
        <v>0.95233147187899581</v>
      </c>
      <c r="R215" s="11">
        <v>0.60447236038735586</v>
      </c>
      <c r="S215" s="13">
        <v>18.745867229996122</v>
      </c>
      <c r="T215" s="14">
        <v>1028.1176010782417</v>
      </c>
      <c r="U215" s="91">
        <v>7.5866634529352099</v>
      </c>
      <c r="V215" s="12">
        <v>1198.7255955570786</v>
      </c>
      <c r="W215" s="11">
        <v>62.83428999101384</v>
      </c>
      <c r="X215" s="11">
        <v>2174.9089473306603</v>
      </c>
      <c r="Y215" s="11">
        <v>41.916762678325675</v>
      </c>
      <c r="Z215" s="11">
        <v>1.0055611467725505</v>
      </c>
      <c r="AA215" s="11">
        <v>0.63392976170062842</v>
      </c>
      <c r="AB215" s="13">
        <v>18.8812597509874</v>
      </c>
      <c r="AC215" s="14">
        <v>1026.9376665513503</v>
      </c>
      <c r="AD215" s="15">
        <v>4</v>
      </c>
      <c r="AE215" s="9">
        <v>1.3146900478227799</v>
      </c>
      <c r="AF215" s="9">
        <v>6.0059168412113717</v>
      </c>
      <c r="AG215" s="9">
        <v>9.253152130752941</v>
      </c>
      <c r="AH215" s="9">
        <v>13.953256525732916</v>
      </c>
      <c r="AI215" s="9">
        <v>8.7951663456980018</v>
      </c>
      <c r="AJ215" s="9">
        <v>2.4807813253180946</v>
      </c>
      <c r="AK215" s="9">
        <v>0.68863863537725856</v>
      </c>
      <c r="AL215" s="9">
        <v>1.5899841577178164</v>
      </c>
      <c r="AM215" s="9">
        <v>6.1011849751740996</v>
      </c>
      <c r="AN215" s="9">
        <v>9.1808618063957024</v>
      </c>
      <c r="AO215" s="9">
        <v>9.6924176197778404</v>
      </c>
      <c r="AP215" s="9">
        <v>6.3524301408519595</v>
      </c>
      <c r="AQ215" s="9">
        <v>6.155018451526189</v>
      </c>
      <c r="AR215" s="9">
        <v>1.2805230665716556</v>
      </c>
      <c r="AS215" s="9">
        <v>6.047419085068463</v>
      </c>
      <c r="AT215" s="9">
        <v>9.3017167990721745</v>
      </c>
      <c r="AU215" s="9">
        <v>14.067241568399753</v>
      </c>
      <c r="AV215" s="9">
        <v>8.8418088075860872</v>
      </c>
      <c r="AW215" s="9">
        <v>2.4669073497969474</v>
      </c>
      <c r="AX215" s="9">
        <v>0.65577006278512195</v>
      </c>
      <c r="AY215" s="9">
        <v>1.5989552026477802</v>
      </c>
      <c r="AZ215" s="9">
        <v>6.1383175660286993</v>
      </c>
      <c r="BA215" s="9">
        <v>9.2517852038347304</v>
      </c>
      <c r="BB215" s="9">
        <v>9.7560558260525827</v>
      </c>
      <c r="BC215" s="9">
        <v>6.3795369093585945</v>
      </c>
      <c r="BD215" s="9">
        <v>6.1791695662651751</v>
      </c>
    </row>
    <row r="216" spans="3:56" x14ac:dyDescent="0.25">
      <c r="C216" s="111">
        <v>34.258400000000002</v>
      </c>
      <c r="F216" s="111">
        <v>5.7969999999999997</v>
      </c>
      <c r="G216" s="112">
        <v>514</v>
      </c>
      <c r="J216" s="111">
        <v>2317.3200000000002</v>
      </c>
      <c r="K216" s="111">
        <v>2317.4899999999998</v>
      </c>
      <c r="L216" s="91">
        <v>7.5504244065966111</v>
      </c>
      <c r="M216" s="12">
        <v>1261.1791025487016</v>
      </c>
      <c r="N216" s="11">
        <v>64.181330692805162</v>
      </c>
      <c r="O216" s="11">
        <v>2211.175519736862</v>
      </c>
      <c r="P216" s="11">
        <v>42.133149570332407</v>
      </c>
      <c r="Q216" s="11">
        <v>0.9126195832220293</v>
      </c>
      <c r="R216" s="11">
        <v>0.5796974312801656</v>
      </c>
      <c r="S216" s="13">
        <v>18.908077577035105</v>
      </c>
      <c r="T216" s="14">
        <v>1029.3534933148692</v>
      </c>
      <c r="U216" s="91">
        <v>7.5833325241597729</v>
      </c>
      <c r="V216" s="12">
        <v>1227.2260359167904</v>
      </c>
      <c r="W216" s="11">
        <v>64.256661167452492</v>
      </c>
      <c r="X216" s="11">
        <v>2210.7627108340789</v>
      </c>
      <c r="Y216" s="11">
        <v>42.470627998468345</v>
      </c>
      <c r="Z216" s="11">
        <v>1.0178074847116512</v>
      </c>
      <c r="AA216" s="11">
        <v>0.64187018518438643</v>
      </c>
      <c r="AB216" s="13">
        <v>18.887158172108379</v>
      </c>
      <c r="AC216" s="14">
        <v>1027.0874257870075</v>
      </c>
      <c r="AD216" s="15">
        <v>4</v>
      </c>
      <c r="AE216" s="9">
        <v>1.2933680487502617</v>
      </c>
      <c r="AF216" s="9">
        <v>6.0132099062409674</v>
      </c>
      <c r="AG216" s="9">
        <v>9.2704236991135609</v>
      </c>
      <c r="AH216" s="9">
        <v>14.010573121979592</v>
      </c>
      <c r="AI216" s="9">
        <v>8.802606247903638</v>
      </c>
      <c r="AJ216" s="9">
        <v>2.4630901434045724</v>
      </c>
      <c r="AK216" s="9">
        <v>0.65236540483597338</v>
      </c>
      <c r="AL216" s="9">
        <v>1.5848855989412778</v>
      </c>
      <c r="AM216" s="9">
        <v>6.1074800417660589</v>
      </c>
      <c r="AN216" s="9">
        <v>9.2084989999602982</v>
      </c>
      <c r="AO216" s="9">
        <v>9.7113094050510895</v>
      </c>
      <c r="AP216" s="9">
        <v>6.3327807013208011</v>
      </c>
      <c r="AQ216" s="9">
        <v>6.1356922935391101</v>
      </c>
      <c r="AR216" s="9">
        <v>1.2810064048929926</v>
      </c>
      <c r="AS216" s="9">
        <v>6.0467085489577821</v>
      </c>
      <c r="AT216" s="9">
        <v>9.2997859720405653</v>
      </c>
      <c r="AU216" s="9">
        <v>14.066065368878546</v>
      </c>
      <c r="AV216" s="9">
        <v>8.8407897264746733</v>
      </c>
      <c r="AW216" s="9">
        <v>2.4654008111736649</v>
      </c>
      <c r="AX216" s="9">
        <v>0.65366560191329603</v>
      </c>
      <c r="AY216" s="9">
        <v>1.5985002841428448</v>
      </c>
      <c r="AZ216" s="9">
        <v>6.1374726713603884</v>
      </c>
      <c r="BA216" s="9">
        <v>9.2530771354204582</v>
      </c>
      <c r="BB216" s="9">
        <v>9.7556424908816641</v>
      </c>
      <c r="BC216" s="9">
        <v>6.3766918000922406</v>
      </c>
      <c r="BD216" s="9">
        <v>6.17647336305693</v>
      </c>
    </row>
    <row r="217" spans="3:56" x14ac:dyDescent="0.25">
      <c r="C217" s="111">
        <v>33.351300000000002</v>
      </c>
      <c r="F217" s="111">
        <v>18.994</v>
      </c>
      <c r="G217" s="112">
        <v>1</v>
      </c>
      <c r="J217" s="111">
        <v>2232.46</v>
      </c>
      <c r="K217" s="111">
        <v>1993.88</v>
      </c>
      <c r="L217" s="91">
        <v>8.046624900256564</v>
      </c>
      <c r="M217" s="12">
        <v>382.0452967645482</v>
      </c>
      <c r="N217" s="11">
        <v>12.849016827060224</v>
      </c>
      <c r="O217" s="11">
        <v>1809.819896321927</v>
      </c>
      <c r="P217" s="11">
        <v>171.21108685101285</v>
      </c>
      <c r="Q217" s="11">
        <v>4.1393196982779106</v>
      </c>
      <c r="R217" s="11">
        <v>2.6752823528589018</v>
      </c>
      <c r="S217" s="13">
        <v>10.797447744743211</v>
      </c>
      <c r="T217" s="14">
        <v>1023.7685462932163</v>
      </c>
      <c r="U217" s="91">
        <v>8.2677354811419015</v>
      </c>
      <c r="V217" s="12">
        <v>209.24313745866723</v>
      </c>
      <c r="W217" s="11">
        <v>11.014526057950048</v>
      </c>
      <c r="X217" s="11">
        <v>1817.6278947783819</v>
      </c>
      <c r="Y217" s="11">
        <v>165.23757916366804</v>
      </c>
      <c r="Z217" s="11">
        <v>3.979154886995345</v>
      </c>
      <c r="AA217" s="11">
        <v>2.5050233964593986</v>
      </c>
      <c r="AB217" s="13">
        <v>10.996062977958752</v>
      </c>
      <c r="AC217" s="14">
        <v>1026.3683744392058</v>
      </c>
      <c r="AD217" s="15">
        <v>4</v>
      </c>
      <c r="AE217" s="9">
        <v>1.4732449597257724</v>
      </c>
      <c r="AF217" s="9">
        <v>5.8978594397889701</v>
      </c>
      <c r="AG217" s="9">
        <v>9.0707283744059684</v>
      </c>
      <c r="AH217" s="9">
        <v>13.462355513443883</v>
      </c>
      <c r="AI217" s="9">
        <v>8.668385854117302</v>
      </c>
      <c r="AJ217" s="9">
        <v>2.5915861939221081</v>
      </c>
      <c r="AK217" s="9">
        <v>0.915421781634149</v>
      </c>
      <c r="AL217" s="9">
        <v>1.604057677930004</v>
      </c>
      <c r="AM217" s="9">
        <v>6.0093919608525397</v>
      </c>
      <c r="AN217" s="9">
        <v>8.9129060661901178</v>
      </c>
      <c r="AO217" s="9">
        <v>9.4846542947748631</v>
      </c>
      <c r="AP217" s="9">
        <v>6.3921662375975448</v>
      </c>
      <c r="AQ217" s="9">
        <v>6.2026068921788644</v>
      </c>
      <c r="AR217" s="9">
        <v>1.2786854086447945</v>
      </c>
      <c r="AS217" s="9">
        <v>6.0501963167377806</v>
      </c>
      <c r="AT217" s="9">
        <v>9.3091316365971739</v>
      </c>
      <c r="AU217" s="9">
        <v>14.071777375939634</v>
      </c>
      <c r="AV217" s="9">
        <v>8.8457422516269109</v>
      </c>
      <c r="AW217" s="9">
        <v>2.4726717241596687</v>
      </c>
      <c r="AX217" s="9">
        <v>0.66363031100134162</v>
      </c>
      <c r="AY217" s="9">
        <v>1.6007400121146838</v>
      </c>
      <c r="AZ217" s="9">
        <v>6.1416697059043468</v>
      </c>
      <c r="BA217" s="9">
        <v>9.2473884361310859</v>
      </c>
      <c r="BB217" s="9">
        <v>9.7576747343832562</v>
      </c>
      <c r="BC217" s="9">
        <v>6.3904511721252621</v>
      </c>
      <c r="BD217" s="9">
        <v>6.1894721143657909</v>
      </c>
    </row>
    <row r="218" spans="3:56" x14ac:dyDescent="0.25">
      <c r="C218" s="111">
        <v>33.201700000000002</v>
      </c>
      <c r="F218" s="111">
        <v>14.192</v>
      </c>
      <c r="G218" s="112">
        <v>30</v>
      </c>
      <c r="J218" s="111">
        <v>2225.81</v>
      </c>
      <c r="K218" s="111">
        <v>2016.28</v>
      </c>
      <c r="L218" s="91">
        <v>8.0626163467477703</v>
      </c>
      <c r="M218" s="12">
        <v>364.24562680303836</v>
      </c>
      <c r="N218" s="11">
        <v>14.126819400693124</v>
      </c>
      <c r="O218" s="11">
        <v>1851.2775601909937</v>
      </c>
      <c r="P218" s="11">
        <v>150.87562040831318</v>
      </c>
      <c r="Q218" s="11">
        <v>3.6187125738287658</v>
      </c>
      <c r="R218" s="11">
        <v>2.3132725193621262</v>
      </c>
      <c r="S218" s="13">
        <v>11.637802619796398</v>
      </c>
      <c r="T218" s="14">
        <v>1024.8922420927026</v>
      </c>
      <c r="U218" s="91">
        <v>8.2096874678046294</v>
      </c>
      <c r="V218" s="12">
        <v>244.37228579679331</v>
      </c>
      <c r="W218" s="11">
        <v>12.875061847315383</v>
      </c>
      <c r="X218" s="11">
        <v>1856.2944982267834</v>
      </c>
      <c r="Y218" s="11">
        <v>147.1104399259012</v>
      </c>
      <c r="Z218" s="11">
        <v>3.5454104282209591</v>
      </c>
      <c r="AA218" s="11">
        <v>2.2312640920110076</v>
      </c>
      <c r="AB218" s="13">
        <v>11.788088755567104</v>
      </c>
      <c r="AC218" s="14">
        <v>1026.2498102831421</v>
      </c>
      <c r="AD218" s="15">
        <v>4</v>
      </c>
      <c r="AE218" s="9">
        <v>1.4113499531432372</v>
      </c>
      <c r="AF218" s="9">
        <v>5.9451892028906324</v>
      </c>
      <c r="AG218" s="9">
        <v>9.151468814768851</v>
      </c>
      <c r="AH218" s="9">
        <v>13.662808984659648</v>
      </c>
      <c r="AI218" s="9">
        <v>8.7264174247620137</v>
      </c>
      <c r="AJ218" s="9">
        <v>2.5527563794705466</v>
      </c>
      <c r="AK218" s="9">
        <v>0.83402686234707257</v>
      </c>
      <c r="AL218" s="9">
        <v>1.6005730592110301</v>
      </c>
      <c r="AM218" s="9">
        <v>6.049770551877371</v>
      </c>
      <c r="AN218" s="9">
        <v>9.0222271520120358</v>
      </c>
      <c r="AO218" s="9">
        <v>9.5719729176405828</v>
      </c>
      <c r="AP218" s="9">
        <v>6.3906566179067532</v>
      </c>
      <c r="AQ218" s="9">
        <v>6.1963293271109929</v>
      </c>
      <c r="AR218" s="9">
        <v>1.2783026272108509</v>
      </c>
      <c r="AS218" s="9">
        <v>6.0507899142313457</v>
      </c>
      <c r="AT218" s="9">
        <v>9.3106908510771387</v>
      </c>
      <c r="AU218" s="9">
        <v>14.072735109250477</v>
      </c>
      <c r="AV218" s="9">
        <v>8.8465734252146326</v>
      </c>
      <c r="AW218" s="9">
        <v>2.473879827381912</v>
      </c>
      <c r="AX218" s="9">
        <v>0.66524058947595932</v>
      </c>
      <c r="AY218" s="9">
        <v>1.6011229597275127</v>
      </c>
      <c r="AZ218" s="9">
        <v>6.1423962583066105</v>
      </c>
      <c r="BA218" s="9">
        <v>9.2465768772303107</v>
      </c>
      <c r="BB218" s="9">
        <v>9.7580215499648411</v>
      </c>
      <c r="BC218" s="9">
        <v>6.3927446209593102</v>
      </c>
      <c r="BD218" s="9">
        <v>6.1916290795326452</v>
      </c>
    </row>
    <row r="219" spans="3:56" x14ac:dyDescent="0.25">
      <c r="C219" s="111">
        <v>33.3217</v>
      </c>
      <c r="F219" s="111">
        <v>11.417</v>
      </c>
      <c r="G219" s="112">
        <v>50</v>
      </c>
      <c r="J219" s="111">
        <v>2221.58</v>
      </c>
      <c r="K219" s="111">
        <v>2087.58</v>
      </c>
      <c r="L219" s="91">
        <v>7.9227343885417083</v>
      </c>
      <c r="M219" s="12">
        <v>521.13011366186095</v>
      </c>
      <c r="N219" s="11">
        <v>22.04404758695668</v>
      </c>
      <c r="O219" s="11">
        <v>1961.1716199553989</v>
      </c>
      <c r="P219" s="11">
        <v>104.36433245764431</v>
      </c>
      <c r="Q219" s="11">
        <v>2.4890614053605504</v>
      </c>
      <c r="R219" s="11">
        <v>1.5832904420178553</v>
      </c>
      <c r="S219" s="13">
        <v>14.380696341934314</v>
      </c>
      <c r="T219" s="14">
        <v>1025.6195251736758</v>
      </c>
      <c r="U219" s="91">
        <v>8.0248570998302053</v>
      </c>
      <c r="V219" s="12">
        <v>395.70031636765657</v>
      </c>
      <c r="W219" s="11">
        <v>20.833235652344719</v>
      </c>
      <c r="X219" s="11">
        <v>1964.7191266454756</v>
      </c>
      <c r="Y219" s="11">
        <v>102.02763770217965</v>
      </c>
      <c r="Z219" s="11">
        <v>2.4573524925570815</v>
      </c>
      <c r="AA219" s="11">
        <v>1.546897875544452</v>
      </c>
      <c r="AB219" s="13">
        <v>14.589029502806182</v>
      </c>
      <c r="AC219" s="14">
        <v>1026.3449147181102</v>
      </c>
      <c r="AD219" s="15">
        <v>4</v>
      </c>
      <c r="AE219" s="9">
        <v>1.3736548298551607</v>
      </c>
      <c r="AF219" s="9">
        <v>5.9735101284572867</v>
      </c>
      <c r="AG219" s="9">
        <v>9.1966978889107232</v>
      </c>
      <c r="AH219" s="9">
        <v>13.781077808085694</v>
      </c>
      <c r="AI219" s="9">
        <v>8.7595108586422956</v>
      </c>
      <c r="AJ219" s="9">
        <v>2.5279822653854325</v>
      </c>
      <c r="AK219" s="9">
        <v>0.78293355379593199</v>
      </c>
      <c r="AL219" s="9">
        <v>1.5987869701785309</v>
      </c>
      <c r="AM219" s="9">
        <v>6.073967733084551</v>
      </c>
      <c r="AN219" s="9">
        <v>9.0875658466357407</v>
      </c>
      <c r="AO219" s="9">
        <v>9.6241566300453378</v>
      </c>
      <c r="AP219" s="9">
        <v>6.3866382796959389</v>
      </c>
      <c r="AQ219" s="9">
        <v>6.1901632589059261</v>
      </c>
      <c r="AR219" s="9">
        <v>1.2786096711418213</v>
      </c>
      <c r="AS219" s="9">
        <v>6.050313353129769</v>
      </c>
      <c r="AT219" s="9">
        <v>9.3094397415515626</v>
      </c>
      <c r="AU219" s="9">
        <v>14.071966516209246</v>
      </c>
      <c r="AV219" s="9">
        <v>8.8459063822493338</v>
      </c>
      <c r="AW219" s="9">
        <v>2.4729105560058229</v>
      </c>
      <c r="AX219" s="9">
        <v>0.6639496397399941</v>
      </c>
      <c r="AY219" s="9">
        <v>1.600815473339174</v>
      </c>
      <c r="AZ219" s="9">
        <v>6.1418126791138254</v>
      </c>
      <c r="BA219" s="9">
        <v>9.2472249751945643</v>
      </c>
      <c r="BB219" s="9">
        <v>9.7577430899890185</v>
      </c>
      <c r="BC219" s="9">
        <v>6.3909043950371434</v>
      </c>
      <c r="BD219" s="9">
        <v>6.189898580148876</v>
      </c>
    </row>
    <row r="220" spans="3:56" x14ac:dyDescent="0.25">
      <c r="C220" s="111">
        <v>33.836500000000001</v>
      </c>
      <c r="F220" s="111">
        <v>9.7639999999999993</v>
      </c>
      <c r="G220" s="112">
        <v>100</v>
      </c>
      <c r="J220" s="111">
        <v>2251.29</v>
      </c>
      <c r="K220" s="111">
        <v>2177.39</v>
      </c>
      <c r="L220" s="91">
        <v>7.761857691620377</v>
      </c>
      <c r="M220" s="12">
        <v>782.05523525708418</v>
      </c>
      <c r="N220" s="11">
        <v>34.817674214955055</v>
      </c>
      <c r="O220" s="11">
        <v>2070.1872330500514</v>
      </c>
      <c r="P220" s="11">
        <v>72.38509273499362</v>
      </c>
      <c r="Q220" s="11">
        <v>1.7045644102060258</v>
      </c>
      <c r="R220" s="11">
        <v>1.0828745126953594</v>
      </c>
      <c r="S220" s="13">
        <v>17.111039305863692</v>
      </c>
      <c r="T220" s="14">
        <v>1026.5366601733697</v>
      </c>
      <c r="U220" s="91">
        <v>7.8378422770450369</v>
      </c>
      <c r="V220" s="12">
        <v>641.1622444487889</v>
      </c>
      <c r="W220" s="11">
        <v>33.654337903855208</v>
      </c>
      <c r="X220" s="11">
        <v>2072.8906713418264</v>
      </c>
      <c r="Y220" s="11">
        <v>70.844990754318474</v>
      </c>
      <c r="Z220" s="11">
        <v>1.701662066336554</v>
      </c>
      <c r="AA220" s="11">
        <v>1.0722978203314992</v>
      </c>
      <c r="AB220" s="13">
        <v>17.390175207530596</v>
      </c>
      <c r="AC220" s="14">
        <v>1026.7529592958169</v>
      </c>
      <c r="AD220" s="15">
        <v>4</v>
      </c>
      <c r="AE220" s="9">
        <v>1.3514376703153468</v>
      </c>
      <c r="AF220" s="9">
        <v>5.987647823001585</v>
      </c>
      <c r="AG220" s="9">
        <v>9.2182181824358125</v>
      </c>
      <c r="AH220" s="9">
        <v>13.848682061463228</v>
      </c>
      <c r="AI220" s="9">
        <v>8.7751408991943425</v>
      </c>
      <c r="AJ220" s="9">
        <v>2.508745176433183</v>
      </c>
      <c r="AK220" s="9">
        <v>0.74611604191509517</v>
      </c>
      <c r="AL220" s="9">
        <v>1.5959185634374005</v>
      </c>
      <c r="AM220" s="9">
        <v>6.0854126071830903</v>
      </c>
      <c r="AN220" s="9">
        <v>9.1275537363795287</v>
      </c>
      <c r="AO220" s="9">
        <v>9.6530963476979839</v>
      </c>
      <c r="AP220" s="9">
        <v>6.3744607660264156</v>
      </c>
      <c r="AQ220" s="9">
        <v>6.1774254814791343</v>
      </c>
      <c r="AR220" s="9">
        <v>1.279926889605687</v>
      </c>
      <c r="AS220" s="9">
        <v>6.0483069308770689</v>
      </c>
      <c r="AT220" s="9">
        <v>9.3041095261747806</v>
      </c>
      <c r="AU220" s="9">
        <v>14.068701930135026</v>
      </c>
      <c r="AV220" s="9">
        <v>8.8430746484127578</v>
      </c>
      <c r="AW220" s="9">
        <v>2.4687710661635327</v>
      </c>
      <c r="AX220" s="9">
        <v>0.65834418357173941</v>
      </c>
      <c r="AY220" s="9">
        <v>1.59952459512769</v>
      </c>
      <c r="AZ220" s="9">
        <v>6.1393806567017233</v>
      </c>
      <c r="BA220" s="9">
        <v>9.2502688399348774</v>
      </c>
      <c r="BB220" s="9">
        <v>9.7565727572740339</v>
      </c>
      <c r="BC220" s="9">
        <v>6.3830606542993236</v>
      </c>
      <c r="BD220" s="9">
        <v>6.1825027598762468</v>
      </c>
    </row>
    <row r="221" spans="3:56" x14ac:dyDescent="0.25">
      <c r="C221" s="111">
        <v>34.127499999999998</v>
      </c>
      <c r="F221" s="111">
        <v>9.1850000000000005</v>
      </c>
      <c r="G221" s="112">
        <v>170</v>
      </c>
      <c r="J221" s="111">
        <v>2268.8000000000002</v>
      </c>
      <c r="K221" s="111">
        <v>2226.1999999999998</v>
      </c>
      <c r="L221" s="91">
        <v>7.6619797453316538</v>
      </c>
      <c r="M221" s="12">
        <v>996.88126431018316</v>
      </c>
      <c r="N221" s="11">
        <v>45.171321832260851</v>
      </c>
      <c r="O221" s="11">
        <v>2122.7189839582661</v>
      </c>
      <c r="P221" s="11">
        <v>58.309694209472944</v>
      </c>
      <c r="Q221" s="11">
        <v>1.3528142266980125</v>
      </c>
      <c r="R221" s="11">
        <v>0.85977396248646731</v>
      </c>
      <c r="S221" s="13">
        <v>18.205552113569333</v>
      </c>
      <c r="T221" s="14">
        <v>1027.177262960535</v>
      </c>
      <c r="U221" s="91">
        <v>7.7304004709635459</v>
      </c>
      <c r="V221" s="12">
        <v>841.07653118893393</v>
      </c>
      <c r="W221" s="11">
        <v>44.072130339657122</v>
      </c>
      <c r="X221" s="11">
        <v>2125.0271147046251</v>
      </c>
      <c r="Y221" s="11">
        <v>57.100754955717719</v>
      </c>
      <c r="Z221" s="11">
        <v>1.3693884114868118</v>
      </c>
      <c r="AA221" s="11">
        <v>0.86338710341383107</v>
      </c>
      <c r="AB221" s="13">
        <v>18.503692914689346</v>
      </c>
      <c r="AC221" s="14">
        <v>1026.9836476331232</v>
      </c>
      <c r="AD221" s="15">
        <v>4</v>
      </c>
      <c r="AE221" s="9">
        <v>1.3437806344607419</v>
      </c>
      <c r="AF221" s="9">
        <v>5.9899500407642927</v>
      </c>
      <c r="AG221" s="9">
        <v>9.2231314853718764</v>
      </c>
      <c r="AH221" s="9">
        <v>13.870081790864312</v>
      </c>
      <c r="AI221" s="9">
        <v>8.7773490247105279</v>
      </c>
      <c r="AJ221" s="9">
        <v>2.5001299878464005</v>
      </c>
      <c r="AK221" s="9">
        <v>0.73014467873497491</v>
      </c>
      <c r="AL221" s="9">
        <v>1.5934052463407844</v>
      </c>
      <c r="AM221" s="9">
        <v>6.0869688881480393</v>
      </c>
      <c r="AN221" s="9">
        <v>9.1400585609746354</v>
      </c>
      <c r="AO221" s="9">
        <v>9.660405878237448</v>
      </c>
      <c r="AP221" s="9">
        <v>6.3642748411228869</v>
      </c>
      <c r="AQ221" s="9">
        <v>6.1674209680527534</v>
      </c>
      <c r="AR221" s="9">
        <v>1.2806714711382914</v>
      </c>
      <c r="AS221" s="9">
        <v>6.0472000388322913</v>
      </c>
      <c r="AT221" s="9">
        <v>9.3011230965579994</v>
      </c>
      <c r="AU221" s="9">
        <v>14.066879691208609</v>
      </c>
      <c r="AV221" s="9">
        <v>8.8414952264540023</v>
      </c>
      <c r="AW221" s="9">
        <v>2.4664443607537572</v>
      </c>
      <c r="AX221" s="9">
        <v>0.65512559611967935</v>
      </c>
      <c r="AY221" s="9">
        <v>1.5988148881225814</v>
      </c>
      <c r="AZ221" s="9">
        <v>6.1380565378352978</v>
      </c>
      <c r="BA221" s="9">
        <v>9.2521759442504941</v>
      </c>
      <c r="BB221" s="9">
        <v>9.7559283693465471</v>
      </c>
      <c r="BC221" s="9">
        <v>6.378662241201404</v>
      </c>
      <c r="BD221" s="9">
        <v>6.1783411501168235</v>
      </c>
    </row>
    <row r="222" spans="3:56" x14ac:dyDescent="0.25">
      <c r="C222" s="111">
        <v>34.184399999999997</v>
      </c>
      <c r="F222" s="111">
        <v>8.859</v>
      </c>
      <c r="G222" s="112">
        <v>230</v>
      </c>
      <c r="J222" s="111">
        <v>2278.5700000000002</v>
      </c>
      <c r="K222" s="111">
        <v>2242.38</v>
      </c>
      <c r="L222" s="91">
        <v>7.6421192684439001</v>
      </c>
      <c r="M222" s="12">
        <v>1042.2928553128434</v>
      </c>
      <c r="N222" s="11">
        <v>47.73354949669902</v>
      </c>
      <c r="O222" s="11">
        <v>2138.9380963598692</v>
      </c>
      <c r="P222" s="11">
        <v>55.708354143431706</v>
      </c>
      <c r="Q222" s="11">
        <v>1.277454250853828</v>
      </c>
      <c r="R222" s="11">
        <v>0.81211987491912307</v>
      </c>
      <c r="S222" s="13">
        <v>18.391292969488727</v>
      </c>
      <c r="T222" s="14">
        <v>1027.5468269114385</v>
      </c>
      <c r="U222" s="91">
        <v>7.7078700502417581</v>
      </c>
      <c r="V222" s="12">
        <v>892.35585201120796</v>
      </c>
      <c r="W222" s="11">
        <v>46.743477086336554</v>
      </c>
      <c r="X222" s="11">
        <v>2140.943262459477</v>
      </c>
      <c r="Y222" s="11">
        <v>54.693260454186351</v>
      </c>
      <c r="Z222" s="11">
        <v>1.3112484000114613</v>
      </c>
      <c r="AA222" s="11">
        <v>0.82681585705238714</v>
      </c>
      <c r="AB222" s="13">
        <v>18.664221587001421</v>
      </c>
      <c r="AC222" s="14">
        <v>1027.0287576133155</v>
      </c>
      <c r="AD222" s="15">
        <v>4</v>
      </c>
      <c r="AE222" s="9">
        <v>1.3391660308066848</v>
      </c>
      <c r="AF222" s="9">
        <v>5.9907447827128202</v>
      </c>
      <c r="AG222" s="9">
        <v>9.2263971563692397</v>
      </c>
      <c r="AH222" s="9">
        <v>13.882175216731673</v>
      </c>
      <c r="AI222" s="9">
        <v>8.7781130133849992</v>
      </c>
      <c r="AJ222" s="9">
        <v>2.4957512891761455</v>
      </c>
      <c r="AK222" s="9">
        <v>0.72148206388126279</v>
      </c>
      <c r="AL222" s="9">
        <v>1.5917766226513881</v>
      </c>
      <c r="AM222" s="9">
        <v>6.0875719743443044</v>
      </c>
      <c r="AN222" s="9">
        <v>9.145608664187959</v>
      </c>
      <c r="AO222" s="9">
        <v>9.6637150455489103</v>
      </c>
      <c r="AP222" s="9">
        <v>6.3584789849137993</v>
      </c>
      <c r="AQ222" s="9">
        <v>6.1617537681676966</v>
      </c>
      <c r="AR222" s="9">
        <v>1.28081706113556</v>
      </c>
      <c r="AS222" s="9">
        <v>6.0469859070438368</v>
      </c>
      <c r="AT222" s="9">
        <v>9.3005413944282207</v>
      </c>
      <c r="AU222" s="9">
        <v>14.066525311671969</v>
      </c>
      <c r="AV222" s="9">
        <v>8.8411881799346759</v>
      </c>
      <c r="AW222" s="9">
        <v>2.4659905148544001</v>
      </c>
      <c r="AX222" s="9">
        <v>0.65449190175916494</v>
      </c>
      <c r="AY222" s="9">
        <v>1.5986777830020444</v>
      </c>
      <c r="AZ222" s="9">
        <v>6.1378018490240187</v>
      </c>
      <c r="BA222" s="9">
        <v>9.2525643905742001</v>
      </c>
      <c r="BB222" s="9">
        <v>9.7558038005838572</v>
      </c>
      <c r="BC222" s="9">
        <v>6.3778051142241559</v>
      </c>
      <c r="BD222" s="9">
        <v>6.177528940082599</v>
      </c>
    </row>
    <row r="223" spans="3:56" x14ac:dyDescent="0.25">
      <c r="C223" s="111">
        <v>34.237400000000001</v>
      </c>
      <c r="F223" s="111">
        <v>8.4420000000000002</v>
      </c>
      <c r="G223" s="112">
        <v>320</v>
      </c>
      <c r="J223" s="111">
        <v>2280.5300000000002</v>
      </c>
      <c r="K223" s="111">
        <v>2262.56</v>
      </c>
      <c r="L223" s="91">
        <v>7.582271670517418</v>
      </c>
      <c r="M223" s="12">
        <v>1192.1723932500852</v>
      </c>
      <c r="N223" s="11">
        <v>55.355834000020515</v>
      </c>
      <c r="O223" s="11">
        <v>2158.6680962751257</v>
      </c>
      <c r="P223" s="11">
        <v>48.536069724853554</v>
      </c>
      <c r="Q223" s="11">
        <v>1.093742664156548</v>
      </c>
      <c r="R223" s="11">
        <v>0.69568889295039582</v>
      </c>
      <c r="S223" s="13">
        <v>18.663411381736061</v>
      </c>
      <c r="T223" s="14">
        <v>1028.0632201694914</v>
      </c>
      <c r="U223" s="91">
        <v>7.6448017363776488</v>
      </c>
      <c r="V223" s="12">
        <v>1040.9846969451767</v>
      </c>
      <c r="W223" s="11">
        <v>54.511944364926975</v>
      </c>
      <c r="X223" s="11">
        <v>2160.2612727484116</v>
      </c>
      <c r="Y223" s="11">
        <v>47.7867828866612</v>
      </c>
      <c r="Z223" s="11">
        <v>1.1453394823914465</v>
      </c>
      <c r="AA223" s="11">
        <v>0.72226985308757696</v>
      </c>
      <c r="AB223" s="13">
        <v>18.903376010360912</v>
      </c>
      <c r="AC223" s="14">
        <v>1027.0707765478323</v>
      </c>
      <c r="AD223" s="15">
        <v>4</v>
      </c>
      <c r="AE223" s="9">
        <v>1.33317566248912</v>
      </c>
      <c r="AF223" s="9">
        <v>5.9912491958421361</v>
      </c>
      <c r="AG223" s="9">
        <v>9.2303929376714233</v>
      </c>
      <c r="AH223" s="9">
        <v>13.89736245337242</v>
      </c>
      <c r="AI223" s="9">
        <v>8.7785037755460547</v>
      </c>
      <c r="AJ223" s="9">
        <v>2.4900599895450912</v>
      </c>
      <c r="AK223" s="9">
        <v>0.71011582523662187</v>
      </c>
      <c r="AL223" s="9">
        <v>1.5894185446980131</v>
      </c>
      <c r="AM223" s="9">
        <v>6.0879261746211037</v>
      </c>
      <c r="AN223" s="9">
        <v>9.1519980170956394</v>
      </c>
      <c r="AO223" s="9">
        <v>9.6673178775549307</v>
      </c>
      <c r="AP223" s="9">
        <v>6.3502316890878197</v>
      </c>
      <c r="AQ223" s="9">
        <v>6.153731605571612</v>
      </c>
      <c r="AR223" s="9">
        <v>1.2809526722050724</v>
      </c>
      <c r="AS223" s="9">
        <v>6.0467871292959074</v>
      </c>
      <c r="AT223" s="9">
        <v>9.3000002226140914</v>
      </c>
      <c r="AU223" s="9">
        <v>14.0661957856441</v>
      </c>
      <c r="AV223" s="9">
        <v>8.8409027013595018</v>
      </c>
      <c r="AW223" s="9">
        <v>2.4655680981148587</v>
      </c>
      <c r="AX223" s="9">
        <v>0.65390034189667601</v>
      </c>
      <c r="AY223" s="9">
        <v>1.5985505625106293</v>
      </c>
      <c r="AZ223" s="9">
        <v>6.1375658512366602</v>
      </c>
      <c r="BA223" s="9">
        <v>9.2529307595117825</v>
      </c>
      <c r="BB223" s="9">
        <v>9.7556881881927211</v>
      </c>
      <c r="BC223" s="9">
        <v>6.3770075799741655</v>
      </c>
      <c r="BD223" s="9">
        <v>6.1767728360699783</v>
      </c>
    </row>
    <row r="224" spans="3:56" x14ac:dyDescent="0.25">
      <c r="C224" s="111">
        <v>34.304099999999998</v>
      </c>
      <c r="F224" s="111">
        <v>6.47</v>
      </c>
      <c r="G224" s="112">
        <v>515</v>
      </c>
      <c r="J224" s="111">
        <v>2315.37</v>
      </c>
      <c r="K224" s="111">
        <v>2311.33</v>
      </c>
      <c r="L224" s="91">
        <v>7.5547459694986179</v>
      </c>
      <c r="M224" s="12">
        <v>1251.9058067139961</v>
      </c>
      <c r="N224" s="11">
        <v>62.198016085896874</v>
      </c>
      <c r="O224" s="11">
        <v>2205.4723385442317</v>
      </c>
      <c r="P224" s="11">
        <v>43.65964536987132</v>
      </c>
      <c r="Q224" s="11">
        <v>0.94593960322388659</v>
      </c>
      <c r="R224" s="11">
        <v>0.60144694921824138</v>
      </c>
      <c r="S224" s="13">
        <v>18.881459780760565</v>
      </c>
      <c r="T224" s="14">
        <v>1029.3000830537135</v>
      </c>
      <c r="U224" s="91">
        <v>7.5971667076621703</v>
      </c>
      <c r="V224" s="12">
        <v>1185.7590521841848</v>
      </c>
      <c r="W224" s="11">
        <v>62.068766019120645</v>
      </c>
      <c r="X224" s="11">
        <v>2205.4738941282149</v>
      </c>
      <c r="Y224" s="11">
        <v>43.787339852664317</v>
      </c>
      <c r="Z224" s="11">
        <v>1.0491019981881153</v>
      </c>
      <c r="AA224" s="11">
        <v>0.66165949695834192</v>
      </c>
      <c r="AB224" s="13">
        <v>18.918650548151092</v>
      </c>
      <c r="AC224" s="14">
        <v>1027.1236581493536</v>
      </c>
      <c r="AD224" s="15">
        <v>4</v>
      </c>
      <c r="AE224" s="9">
        <v>1.3037951214914119</v>
      </c>
      <c r="AF224" s="9">
        <v>6.0050208866869461</v>
      </c>
      <c r="AG224" s="9">
        <v>9.2581673808585982</v>
      </c>
      <c r="AH224" s="9">
        <v>13.97939096734334</v>
      </c>
      <c r="AI224" s="9">
        <v>8.7934858794647344</v>
      </c>
      <c r="AJ224" s="9">
        <v>2.4686754425571173</v>
      </c>
      <c r="AK224" s="9">
        <v>0.66503708802531991</v>
      </c>
      <c r="AL224" s="9">
        <v>1.5845905488649841</v>
      </c>
      <c r="AM224" s="9">
        <v>6.1001014866752579</v>
      </c>
      <c r="AN224" s="9">
        <v>9.1920164337431292</v>
      </c>
      <c r="AO224" s="9">
        <v>9.6972060556342061</v>
      </c>
      <c r="AP224" s="9">
        <v>6.3323190932966344</v>
      </c>
      <c r="AQ224" s="9">
        <v>6.1356530113480634</v>
      </c>
      <c r="AR224" s="9">
        <v>1.2811233374567035</v>
      </c>
      <c r="AS224" s="9">
        <v>6.0465378975179638</v>
      </c>
      <c r="AT224" s="9">
        <v>9.2993200671819967</v>
      </c>
      <c r="AU224" s="9">
        <v>14.065781851164454</v>
      </c>
      <c r="AV224" s="9">
        <v>8.8405441445084687</v>
      </c>
      <c r="AW224" s="9">
        <v>2.4650369307782452</v>
      </c>
      <c r="AX224" s="9">
        <v>0.65315407690200766</v>
      </c>
      <c r="AY224" s="9">
        <v>1.5983911229023646</v>
      </c>
      <c r="AZ224" s="9">
        <v>6.1372705377870673</v>
      </c>
      <c r="BA224" s="9">
        <v>9.253398048244156</v>
      </c>
      <c r="BB224" s="9">
        <v>9.7555432628947223</v>
      </c>
      <c r="BC224" s="9">
        <v>6.3760050410932338</v>
      </c>
      <c r="BD224" s="9">
        <v>6.1758218772902005</v>
      </c>
    </row>
    <row r="225" spans="3:56" x14ac:dyDescent="0.25">
      <c r="C225" s="111">
        <v>33.399799999999999</v>
      </c>
      <c r="F225" s="111">
        <v>17.236000000000001</v>
      </c>
      <c r="G225" s="112">
        <v>2</v>
      </c>
      <c r="J225" s="111">
        <v>2237.09</v>
      </c>
      <c r="K225" s="111">
        <v>1989.86</v>
      </c>
      <c r="L225" s="91">
        <v>8.0892721755732477</v>
      </c>
      <c r="M225" s="12">
        <v>340.8476152250085</v>
      </c>
      <c r="N225" s="11">
        <v>12.053703016631008</v>
      </c>
      <c r="O225" s="11">
        <v>1801.7394845120803</v>
      </c>
      <c r="P225" s="11">
        <v>176.06681247128864</v>
      </c>
      <c r="Q225" s="11">
        <v>4.2471370540208824</v>
      </c>
      <c r="R225" s="11">
        <v>2.7335998076180927</v>
      </c>
      <c r="S225" s="13">
        <v>10.634515032710418</v>
      </c>
      <c r="T225" s="14">
        <v>1024.2404521307303</v>
      </c>
      <c r="U225" s="91">
        <v>8.2837152504204177</v>
      </c>
      <c r="V225" s="12">
        <v>200.64347285365872</v>
      </c>
      <c r="W225" s="11">
        <v>10.558823508347997</v>
      </c>
      <c r="X225" s="11">
        <v>1808.5302998717098</v>
      </c>
      <c r="Y225" s="11">
        <v>170.77087661994224</v>
      </c>
      <c r="Z225" s="11">
        <v>4.1113543585273993</v>
      </c>
      <c r="AA225" s="11">
        <v>2.5885075156557793</v>
      </c>
      <c r="AB225" s="13">
        <v>10.793763653045174</v>
      </c>
      <c r="AC225" s="14">
        <v>1026.4068140469785</v>
      </c>
      <c r="AD225" s="15">
        <v>4</v>
      </c>
      <c r="AE225" s="9">
        <v>1.451439772795899</v>
      </c>
      <c r="AF225" s="9">
        <v>5.9147006664699466</v>
      </c>
      <c r="AG225" s="9">
        <v>9.0992866698404935</v>
      </c>
      <c r="AH225" s="9">
        <v>13.534305151471031</v>
      </c>
      <c r="AI225" s="9">
        <v>8.6893000019280908</v>
      </c>
      <c r="AJ225" s="9">
        <v>2.5768653283807623</v>
      </c>
      <c r="AK225" s="9">
        <v>0.88558563488450659</v>
      </c>
      <c r="AL225" s="9">
        <v>1.6024431739766307</v>
      </c>
      <c r="AM225" s="9">
        <v>6.0234241693116655</v>
      </c>
      <c r="AN225" s="9">
        <v>8.9532381961803083</v>
      </c>
      <c r="AO225" s="9">
        <v>9.5162485645074248</v>
      </c>
      <c r="AP225" s="9">
        <v>6.3905568262648682</v>
      </c>
      <c r="AQ225" s="9">
        <v>6.1991954857032443</v>
      </c>
      <c r="AR225" s="9">
        <v>1.2788095055668951</v>
      </c>
      <c r="AS225" s="9">
        <v>6.0500049918205852</v>
      </c>
      <c r="AT225" s="9">
        <v>9.3086272318949259</v>
      </c>
      <c r="AU225" s="9">
        <v>14.071467847439605</v>
      </c>
      <c r="AV225" s="9">
        <v>8.8454736686068784</v>
      </c>
      <c r="AW225" s="9">
        <v>2.472280612484822</v>
      </c>
      <c r="AX225" s="9">
        <v>0.6631063153759067</v>
      </c>
      <c r="AY225" s="9">
        <v>1.6006166965864022</v>
      </c>
      <c r="AZ225" s="9">
        <v>6.1414362750374361</v>
      </c>
      <c r="BA225" s="9">
        <v>9.2476593366295781</v>
      </c>
      <c r="BB225" s="9">
        <v>9.7575630152351209</v>
      </c>
      <c r="BC225" s="9">
        <v>6.3897091548110669</v>
      </c>
      <c r="BD225" s="9">
        <v>6.1887736747625475</v>
      </c>
    </row>
    <row r="226" spans="3:56" x14ac:dyDescent="0.25">
      <c r="C226" s="111">
        <v>33.382100000000001</v>
      </c>
      <c r="F226" s="111">
        <v>14.145</v>
      </c>
      <c r="G226" s="112">
        <v>27</v>
      </c>
      <c r="J226" s="111">
        <v>2235.4899999999998</v>
      </c>
      <c r="K226" s="111">
        <v>2036.62</v>
      </c>
      <c r="L226" s="91">
        <v>8.0366525796784849</v>
      </c>
      <c r="M226" s="12">
        <v>391.80052031747937</v>
      </c>
      <c r="N226" s="11">
        <v>15.202076756681274</v>
      </c>
      <c r="O226" s="11">
        <v>1876.9916723135323</v>
      </c>
      <c r="P226" s="11">
        <v>144.42625092978631</v>
      </c>
      <c r="Q226" s="11">
        <v>3.4617401574783724</v>
      </c>
      <c r="R226" s="11">
        <v>2.2134600514766682</v>
      </c>
      <c r="S226" s="13">
        <v>11.979110126303752</v>
      </c>
      <c r="T226" s="14">
        <v>1025.027944490186</v>
      </c>
      <c r="U226" s="91">
        <v>8.1824864269803044</v>
      </c>
      <c r="V226" s="12">
        <v>263.62213888958803</v>
      </c>
      <c r="W226" s="11">
        <v>13.874510270876208</v>
      </c>
      <c r="X226" s="11">
        <v>1882.0421153857305</v>
      </c>
      <c r="Y226" s="11">
        <v>140.70337434339314</v>
      </c>
      <c r="Z226" s="11">
        <v>3.3877871433806006</v>
      </c>
      <c r="AA226" s="11">
        <v>2.1328718869454542</v>
      </c>
      <c r="AB226" s="13">
        <v>12.144324440785256</v>
      </c>
      <c r="AC226" s="14">
        <v>1026.392785494116</v>
      </c>
      <c r="AD226" s="15">
        <v>4</v>
      </c>
      <c r="AE226" s="9">
        <v>1.4111620874146094</v>
      </c>
      <c r="AF226" s="9">
        <v>5.9450931548905155</v>
      </c>
      <c r="AG226" s="9">
        <v>9.1504687876443889</v>
      </c>
      <c r="AH226" s="9">
        <v>13.663622141043447</v>
      </c>
      <c r="AI226" s="9">
        <v>8.7261185333879006</v>
      </c>
      <c r="AJ226" s="9">
        <v>2.5509616934341035</v>
      </c>
      <c r="AK226" s="9">
        <v>0.83172934905872076</v>
      </c>
      <c r="AL226" s="9">
        <v>1.6000708154326591</v>
      </c>
      <c r="AM226" s="9">
        <v>6.0493102354018147</v>
      </c>
      <c r="AN226" s="9">
        <v>9.0240564505784153</v>
      </c>
      <c r="AO226" s="9">
        <v>9.5725771066861149</v>
      </c>
      <c r="AP226" s="9">
        <v>6.3880165929917121</v>
      </c>
      <c r="AQ226" s="9">
        <v>6.1937938151524081</v>
      </c>
      <c r="AR226" s="9">
        <v>1.2787642165870772</v>
      </c>
      <c r="AS226" s="9">
        <v>6.0500747521144316</v>
      </c>
      <c r="AT226" s="9">
        <v>9.3088112518076631</v>
      </c>
      <c r="AU226" s="9">
        <v>14.071580754689919</v>
      </c>
      <c r="AV226" s="9">
        <v>8.8455716376184395</v>
      </c>
      <c r="AW226" s="9">
        <v>2.4724233168072298</v>
      </c>
      <c r="AX226" s="9">
        <v>0.66329765802332008</v>
      </c>
      <c r="AY226" s="9">
        <v>1.6006616531318438</v>
      </c>
      <c r="AZ226" s="9">
        <v>6.1415213455393047</v>
      </c>
      <c r="BA226" s="9">
        <v>9.247560030819777</v>
      </c>
      <c r="BB226" s="9">
        <v>9.7576037463541336</v>
      </c>
      <c r="BC226" s="9">
        <v>6.3899798674781021</v>
      </c>
      <c r="BD226" s="9">
        <v>6.1890285218411671</v>
      </c>
    </row>
    <row r="227" spans="3:56" x14ac:dyDescent="0.25">
      <c r="C227" s="111">
        <v>33.390900000000002</v>
      </c>
      <c r="F227" s="111">
        <v>13.375</v>
      </c>
      <c r="G227" s="112">
        <v>32</v>
      </c>
      <c r="J227" s="111">
        <v>2232.9</v>
      </c>
      <c r="K227" s="111">
        <v>2063.8000000000002</v>
      </c>
      <c r="L227" s="91">
        <v>7.980177104714012</v>
      </c>
      <c r="M227" s="12">
        <v>453.77057540199547</v>
      </c>
      <c r="N227" s="11">
        <v>18.030966547810934</v>
      </c>
      <c r="O227" s="11">
        <v>1919.81728862006</v>
      </c>
      <c r="P227" s="11">
        <v>125.95174483212922</v>
      </c>
      <c r="Q227" s="11">
        <v>3.0148437763375839</v>
      </c>
      <c r="R227" s="11">
        <v>1.9248282126604377</v>
      </c>
      <c r="S227" s="13">
        <v>12.978313534032074</v>
      </c>
      <c r="T227" s="14">
        <v>1025.2153745999465</v>
      </c>
      <c r="U227" s="91">
        <v>8.1131682777628704</v>
      </c>
      <c r="V227" s="12">
        <v>316.20764395570069</v>
      </c>
      <c r="W227" s="11">
        <v>16.641237973385753</v>
      </c>
      <c r="X227" s="11">
        <v>1924.4819803920457</v>
      </c>
      <c r="Y227" s="11">
        <v>122.67678163456866</v>
      </c>
      <c r="Z227" s="11">
        <v>2.9536147216989304</v>
      </c>
      <c r="AA227" s="11">
        <v>1.8595608395428536</v>
      </c>
      <c r="AB227" s="13">
        <v>13.175678981347021</v>
      </c>
      <c r="AC227" s="14">
        <v>1026.3997601307351</v>
      </c>
      <c r="AD227" s="15">
        <v>4</v>
      </c>
      <c r="AE227" s="9">
        <v>1.400817323134292</v>
      </c>
      <c r="AF227" s="9">
        <v>5.9529362140356969</v>
      </c>
      <c r="AG227" s="9">
        <v>9.1632328148073885</v>
      </c>
      <c r="AH227" s="9">
        <v>13.696351461458436</v>
      </c>
      <c r="AI227" s="9">
        <v>8.735403242370781</v>
      </c>
      <c r="AJ227" s="9">
        <v>2.5443389883908916</v>
      </c>
      <c r="AK227" s="9">
        <v>0.81792839371772885</v>
      </c>
      <c r="AL227" s="9">
        <v>1.5995996929986567</v>
      </c>
      <c r="AM227" s="9">
        <v>6.0560339158608461</v>
      </c>
      <c r="AN227" s="9">
        <v>9.0420293132098237</v>
      </c>
      <c r="AO227" s="9">
        <v>9.5869755517362663</v>
      </c>
      <c r="AP227" s="9">
        <v>6.3873144180495194</v>
      </c>
      <c r="AQ227" s="9">
        <v>6.1924415809309323</v>
      </c>
      <c r="AR227" s="9">
        <v>1.2787867331420146</v>
      </c>
      <c r="AS227" s="9">
        <v>6.0500400599167392</v>
      </c>
      <c r="AT227" s="9">
        <v>9.3087197528027694</v>
      </c>
      <c r="AU227" s="9">
        <v>14.071524612158436</v>
      </c>
      <c r="AV227" s="9">
        <v>8.8455229226883478</v>
      </c>
      <c r="AW227" s="9">
        <v>2.4723523632747511</v>
      </c>
      <c r="AX227" s="9">
        <v>0.66320254322372119</v>
      </c>
      <c r="AY227" s="9">
        <v>1.6006392950686197</v>
      </c>
      <c r="AZ227" s="9">
        <v>6.1414790334095102</v>
      </c>
      <c r="BA227" s="9">
        <v>9.2476093398682533</v>
      </c>
      <c r="BB227" s="9">
        <v>9.7575834900234391</v>
      </c>
      <c r="BC227" s="9">
        <v>6.3898452636156522</v>
      </c>
      <c r="BD227" s="9">
        <v>6.1889018114188126</v>
      </c>
    </row>
    <row r="228" spans="3:56" x14ac:dyDescent="0.25">
      <c r="C228" s="111">
        <v>33.462800000000001</v>
      </c>
      <c r="F228" s="111">
        <v>11.29</v>
      </c>
      <c r="G228" s="112">
        <v>50</v>
      </c>
      <c r="J228" s="111">
        <v>2228.11</v>
      </c>
      <c r="K228" s="111">
        <v>2123.67</v>
      </c>
      <c r="L228" s="91">
        <v>7.8396369850143959</v>
      </c>
      <c r="M228" s="12">
        <v>645.25820820441299</v>
      </c>
      <c r="N228" s="11">
        <v>27.38488508655626</v>
      </c>
      <c r="O228" s="11">
        <v>2008.1724144735417</v>
      </c>
      <c r="P228" s="11">
        <v>88.112700439901786</v>
      </c>
      <c r="Q228" s="11">
        <v>2.0995897759093953</v>
      </c>
      <c r="R228" s="11">
        <v>1.335621106465636</v>
      </c>
      <c r="S228" s="13">
        <v>15.683669779815908</v>
      </c>
      <c r="T228" s="14">
        <v>1025.7523839911119</v>
      </c>
      <c r="U228" s="91">
        <v>7.9383348408172072</v>
      </c>
      <c r="V228" s="12">
        <v>494.28026969944358</v>
      </c>
      <c r="W228" s="11">
        <v>26.001749580646209</v>
      </c>
      <c r="X228" s="11">
        <v>2011.7783405902687</v>
      </c>
      <c r="Y228" s="11">
        <v>85.889909829084857</v>
      </c>
      <c r="Z228" s="11">
        <v>2.0671352881759315</v>
      </c>
      <c r="AA228" s="11">
        <v>1.3016359558366846</v>
      </c>
      <c r="AB228" s="13">
        <v>15.96521448249978</v>
      </c>
      <c r="AC228" s="14">
        <v>1026.4567469075284</v>
      </c>
      <c r="AD228" s="15">
        <v>4</v>
      </c>
      <c r="AE228" s="9">
        <v>1.3722226149604062</v>
      </c>
      <c r="AF228" s="9">
        <v>5.9743469108421365</v>
      </c>
      <c r="AG228" s="9">
        <v>9.1973994705373787</v>
      </c>
      <c r="AH228" s="9">
        <v>13.785659785460876</v>
      </c>
      <c r="AI228" s="9">
        <v>8.7603248203225412</v>
      </c>
      <c r="AJ228" s="9">
        <v>2.5257610397304373</v>
      </c>
      <c r="AK228" s="9">
        <v>0.77932330613589118</v>
      </c>
      <c r="AL228" s="9">
        <v>1.5983545864423427</v>
      </c>
      <c r="AM228" s="9">
        <v>6.0744362844841246</v>
      </c>
      <c r="AN228" s="9">
        <v>9.0911894705123011</v>
      </c>
      <c r="AO228" s="9">
        <v>9.6263127020970121</v>
      </c>
      <c r="AP228" s="9">
        <v>6.3844155785342158</v>
      </c>
      <c r="AQ228" s="9">
        <v>6.1879644027354477</v>
      </c>
      <c r="AR228" s="9">
        <v>1.2789707036306548</v>
      </c>
      <c r="AS228" s="9">
        <v>6.0497572840665859</v>
      </c>
      <c r="AT228" s="9">
        <v>9.3079728221095266</v>
      </c>
      <c r="AU228" s="9">
        <v>14.071066483424223</v>
      </c>
      <c r="AV228" s="9">
        <v>8.8451254306755693</v>
      </c>
      <c r="AW228" s="9">
        <v>2.4717729730392288</v>
      </c>
      <c r="AX228" s="9">
        <v>0.66242422318289407</v>
      </c>
      <c r="AY228" s="9">
        <v>1.6004571218250523</v>
      </c>
      <c r="AZ228" s="9">
        <v>6.1411345964709412</v>
      </c>
      <c r="BA228" s="9">
        <v>9.2480169046984333</v>
      </c>
      <c r="BB228" s="9">
        <v>9.7574184181544208</v>
      </c>
      <c r="BC228" s="9">
        <v>6.3887463948804459</v>
      </c>
      <c r="BD228" s="9">
        <v>6.1878670308338437</v>
      </c>
    </row>
    <row r="229" spans="3:56" x14ac:dyDescent="0.25">
      <c r="C229" s="111">
        <v>33.500300000000003</v>
      </c>
      <c r="F229" s="111">
        <v>10.97</v>
      </c>
      <c r="G229" s="112">
        <v>60</v>
      </c>
      <c r="J229" s="111">
        <v>2228.0100000000002</v>
      </c>
      <c r="K229" s="111">
        <v>2131.69</v>
      </c>
      <c r="L229" s="91">
        <v>7.8196382744229362</v>
      </c>
      <c r="M229" s="12">
        <v>676.99518152523535</v>
      </c>
      <c r="N229" s="11">
        <v>29.025354472198664</v>
      </c>
      <c r="O229" s="11">
        <v>2018.9913133846217</v>
      </c>
      <c r="P229" s="11">
        <v>83.67333214317965</v>
      </c>
      <c r="Q229" s="11">
        <v>1.9895445148905531</v>
      </c>
      <c r="R229" s="11">
        <v>1.2651317824851278</v>
      </c>
      <c r="S229" s="13">
        <v>16.056898229754403</v>
      </c>
      <c r="T229" s="14">
        <v>1025.8844128062635</v>
      </c>
      <c r="U229" s="91">
        <v>7.9134284565952422</v>
      </c>
      <c r="V229" s="12">
        <v>526.16052628708371</v>
      </c>
      <c r="W229" s="11">
        <v>27.672704681294086</v>
      </c>
      <c r="X229" s="11">
        <v>2022.4127171062446</v>
      </c>
      <c r="Y229" s="11">
        <v>81.604578212461277</v>
      </c>
      <c r="Z229" s="11">
        <v>1.9636098938871349</v>
      </c>
      <c r="AA229" s="11">
        <v>1.2365423272553278</v>
      </c>
      <c r="AB229" s="13">
        <v>16.345533947380485</v>
      </c>
      <c r="AC229" s="14">
        <v>1026.4864693852144</v>
      </c>
      <c r="AD229" s="15">
        <v>4</v>
      </c>
      <c r="AE229" s="9">
        <v>1.3678080453646093</v>
      </c>
      <c r="AF229" s="9">
        <v>5.9772813562721243</v>
      </c>
      <c r="AG229" s="9">
        <v>9.2021856604955303</v>
      </c>
      <c r="AH229" s="9">
        <v>13.799087313153272</v>
      </c>
      <c r="AI229" s="9">
        <v>8.7636661336927251</v>
      </c>
      <c r="AJ229" s="9">
        <v>2.5225409808414212</v>
      </c>
      <c r="AK229" s="9">
        <v>0.77282883924707846</v>
      </c>
      <c r="AL229" s="9">
        <v>1.597949229417631</v>
      </c>
      <c r="AM229" s="9">
        <v>6.0769195895899362</v>
      </c>
      <c r="AN229" s="9">
        <v>9.0985892471125709</v>
      </c>
      <c r="AO229" s="9">
        <v>9.632005309933076</v>
      </c>
      <c r="AP229" s="9">
        <v>6.3829998186225732</v>
      </c>
      <c r="AQ229" s="9">
        <v>6.186381924111541</v>
      </c>
      <c r="AR229" s="9">
        <v>1.2790666548590832</v>
      </c>
      <c r="AS229" s="9">
        <v>6.0496102774943417</v>
      </c>
      <c r="AT229" s="9">
        <v>9.307583719688532</v>
      </c>
      <c r="AU229" s="9">
        <v>14.070827953102144</v>
      </c>
      <c r="AV229" s="9">
        <v>8.8449184907698672</v>
      </c>
      <c r="AW229" s="9">
        <v>2.4714710221621359</v>
      </c>
      <c r="AX229" s="9">
        <v>0.662017439873408</v>
      </c>
      <c r="AY229" s="9">
        <v>1.6003624624814659</v>
      </c>
      <c r="AZ229" s="9">
        <v>6.140955850776634</v>
      </c>
      <c r="BA229" s="9">
        <v>9.2482327816891594</v>
      </c>
      <c r="BB229" s="9">
        <v>9.7573326282259032</v>
      </c>
      <c r="BC229" s="9">
        <v>6.3881739095708125</v>
      </c>
      <c r="BD229" s="9">
        <v>6.1873276848883165</v>
      </c>
    </row>
    <row r="230" spans="3:56" x14ac:dyDescent="0.25">
      <c r="C230" s="111">
        <v>33.4071</v>
      </c>
      <c r="F230" s="111">
        <v>19.04</v>
      </c>
      <c r="G230" s="112">
        <v>2</v>
      </c>
      <c r="J230" s="111">
        <v>2234.5</v>
      </c>
      <c r="K230" s="111">
        <v>1993.86</v>
      </c>
      <c r="L230" s="91">
        <v>8.048927531393808</v>
      </c>
      <c r="M230" s="12">
        <v>379.75751596817861</v>
      </c>
      <c r="N230" s="11">
        <v>12.751610417941617</v>
      </c>
      <c r="O230" s="11">
        <v>1808.5641051010114</v>
      </c>
      <c r="P230" s="11">
        <v>172.54428448104667</v>
      </c>
      <c r="Q230" s="11">
        <v>4.1694538602138129</v>
      </c>
      <c r="R230" s="11">
        <v>2.6954124911093507</v>
      </c>
      <c r="S230" s="13">
        <v>10.751388045572652</v>
      </c>
      <c r="T230" s="14">
        <v>1023.8039272996215</v>
      </c>
      <c r="U230" s="91">
        <v>8.2708494619768818</v>
      </c>
      <c r="V230" s="12">
        <v>207.57094971567432</v>
      </c>
      <c r="W230" s="11">
        <v>10.922910831109146</v>
      </c>
      <c r="X230" s="11">
        <v>1816.4004818231451</v>
      </c>
      <c r="Y230" s="11">
        <v>166.53660734574541</v>
      </c>
      <c r="Z230" s="11">
        <v>4.0092589291296443</v>
      </c>
      <c r="AA230" s="11">
        <v>2.5242662211826419</v>
      </c>
      <c r="AB230" s="13">
        <v>10.948119664805503</v>
      </c>
      <c r="AC230" s="14">
        <v>1026.4125998602619</v>
      </c>
      <c r="AD230" s="15">
        <v>4</v>
      </c>
      <c r="AE230" s="9">
        <v>1.4739413420911618</v>
      </c>
      <c r="AF230" s="9">
        <v>5.8971586601891213</v>
      </c>
      <c r="AG230" s="9">
        <v>9.0693608605759586</v>
      </c>
      <c r="AH230" s="9">
        <v>13.460023648985819</v>
      </c>
      <c r="AI230" s="9">
        <v>8.6674586908141755</v>
      </c>
      <c r="AJ230" s="9">
        <v>2.5914899988325821</v>
      </c>
      <c r="AK230" s="9">
        <v>0.9157061348750043</v>
      </c>
      <c r="AL230" s="9">
        <v>1.6038936675280342</v>
      </c>
      <c r="AM230" s="9">
        <v>6.0086627323945967</v>
      </c>
      <c r="AN230" s="9">
        <v>8.9119468619102538</v>
      </c>
      <c r="AO230" s="9">
        <v>9.4836457064878044</v>
      </c>
      <c r="AP230" s="9">
        <v>6.3912217357752255</v>
      </c>
      <c r="AQ230" s="9">
        <v>6.2017678001908898</v>
      </c>
      <c r="AR230" s="9">
        <v>1.2788281840726961</v>
      </c>
      <c r="AS230" s="9">
        <v>6.0499762418625158</v>
      </c>
      <c r="AT230" s="9">
        <v>9.3085513573657472</v>
      </c>
      <c r="AU230" s="9">
        <v>14.071421299467859</v>
      </c>
      <c r="AV230" s="9">
        <v>8.8454332800202575</v>
      </c>
      <c r="AW230" s="9">
        <v>2.4722217674916362</v>
      </c>
      <c r="AX230" s="9">
        <v>0.66302736272107987</v>
      </c>
      <c r="AY230" s="9">
        <v>1.600598170996016</v>
      </c>
      <c r="AZ230" s="9">
        <v>6.1414012295117217</v>
      </c>
      <c r="BA230" s="9">
        <v>9.2477004408013403</v>
      </c>
      <c r="BB230" s="9">
        <v>9.7575462301085825</v>
      </c>
      <c r="BC230" s="9">
        <v>6.3895975334932524</v>
      </c>
      <c r="BD230" s="9">
        <v>6.1886685841471367</v>
      </c>
    </row>
    <row r="231" spans="3:56" x14ac:dyDescent="0.25">
      <c r="C231" s="111">
        <v>33.365600000000001</v>
      </c>
      <c r="F231" s="111">
        <v>15.879</v>
      </c>
      <c r="G231" s="112">
        <v>15</v>
      </c>
      <c r="J231" s="111">
        <v>2232.4899999999998</v>
      </c>
      <c r="K231" s="111">
        <v>2007.35</v>
      </c>
      <c r="L231" s="91">
        <v>8.0667584951083562</v>
      </c>
      <c r="M231" s="12">
        <v>361.51559904129613</v>
      </c>
      <c r="N231" s="11">
        <v>13.309580748234636</v>
      </c>
      <c r="O231" s="11">
        <v>1832.6231032367716</v>
      </c>
      <c r="P231" s="11">
        <v>161.41731601499353</v>
      </c>
      <c r="Q231" s="11">
        <v>3.8818997842081808</v>
      </c>
      <c r="R231" s="11">
        <v>2.4909697418172532</v>
      </c>
      <c r="S231" s="13">
        <v>11.189775258951151</v>
      </c>
      <c r="T231" s="14">
        <v>1024.5853235177237</v>
      </c>
      <c r="U231" s="91">
        <v>8.2399141339836799</v>
      </c>
      <c r="V231" s="12">
        <v>225.65505355963239</v>
      </c>
      <c r="W231" s="11">
        <v>11.877446037366745</v>
      </c>
      <c r="X231" s="11">
        <v>1838.6427406035896</v>
      </c>
      <c r="Y231" s="11">
        <v>156.82981335904336</v>
      </c>
      <c r="Z231" s="11">
        <v>3.7763997585986919</v>
      </c>
      <c r="AA231" s="11">
        <v>2.3774521577163541</v>
      </c>
      <c r="AB231" s="13">
        <v>11.351964382424894</v>
      </c>
      <c r="AC231" s="14">
        <v>1026.3797081097646</v>
      </c>
      <c r="AD231" s="15">
        <v>4</v>
      </c>
      <c r="AE231" s="9">
        <v>1.433962665998235</v>
      </c>
      <c r="AF231" s="9">
        <v>5.9278497132615025</v>
      </c>
      <c r="AG231" s="9">
        <v>9.1218815306186158</v>
      </c>
      <c r="AH231" s="9">
        <v>13.590757694475821</v>
      </c>
      <c r="AI231" s="9">
        <v>8.7054192592314656</v>
      </c>
      <c r="AJ231" s="9">
        <v>2.5657364444610806</v>
      </c>
      <c r="AK231" s="9">
        <v>0.8623423857232192</v>
      </c>
      <c r="AL231" s="9">
        <v>1.6013358506508379</v>
      </c>
      <c r="AM231" s="9">
        <v>6.0346253179108862</v>
      </c>
      <c r="AN231" s="9">
        <v>8.9839802174324195</v>
      </c>
      <c r="AO231" s="9">
        <v>9.5406776881687652</v>
      </c>
      <c r="AP231" s="9">
        <v>6.3896771771413308</v>
      </c>
      <c r="AQ231" s="9">
        <v>6.1970013098936247</v>
      </c>
      <c r="AR231" s="9">
        <v>1.2787219980465685</v>
      </c>
      <c r="AS231" s="9">
        <v>6.0501398485625488</v>
      </c>
      <c r="AT231" s="9">
        <v>9.3089828597669335</v>
      </c>
      <c r="AU231" s="9">
        <v>14.071686063816747</v>
      </c>
      <c r="AV231" s="9">
        <v>8.8456630163563634</v>
      </c>
      <c r="AW231" s="9">
        <v>2.4725563786297715</v>
      </c>
      <c r="AX231" s="9">
        <v>0.66347591306281584</v>
      </c>
      <c r="AY231" s="9">
        <v>1.6007036106907842</v>
      </c>
      <c r="AZ231" s="9">
        <v>6.1416007724586672</v>
      </c>
      <c r="BA231" s="9">
        <v>9.2474679140874905</v>
      </c>
      <c r="BB231" s="9">
        <v>9.7576417580692691</v>
      </c>
      <c r="BC231" s="9">
        <v>6.3902323151062461</v>
      </c>
      <c r="BD231" s="9">
        <v>6.1892661401479465</v>
      </c>
    </row>
    <row r="232" spans="3:56" x14ac:dyDescent="0.25">
      <c r="C232" s="111">
        <v>33.426099999999998</v>
      </c>
      <c r="F232" s="111">
        <v>12.356999999999999</v>
      </c>
      <c r="G232" s="112">
        <v>30</v>
      </c>
      <c r="J232" s="111">
        <v>2228.9699999999998</v>
      </c>
      <c r="K232" s="111">
        <v>2080.92</v>
      </c>
      <c r="L232" s="91">
        <v>7.9437902230129973</v>
      </c>
      <c r="M232" s="12">
        <v>497.09317696140101</v>
      </c>
      <c r="N232" s="11">
        <v>20.391672003966786</v>
      </c>
      <c r="O232" s="11">
        <v>1947.5264904351416</v>
      </c>
      <c r="P232" s="11">
        <v>113.00183756089172</v>
      </c>
      <c r="Q232" s="11">
        <v>2.7039727708171633</v>
      </c>
      <c r="R232" s="11">
        <v>1.7229880239896032</v>
      </c>
      <c r="S232" s="13">
        <v>13.78844833248009</v>
      </c>
      <c r="T232" s="14">
        <v>1025.4342969676761</v>
      </c>
      <c r="U232" s="91">
        <v>8.0601699057931508</v>
      </c>
      <c r="V232" s="12">
        <v>362.25164601868977</v>
      </c>
      <c r="W232" s="11">
        <v>19.060468364332461</v>
      </c>
      <c r="X232" s="11">
        <v>1951.650299626051</v>
      </c>
      <c r="Y232" s="11">
        <v>110.20923200961647</v>
      </c>
      <c r="Z232" s="11">
        <v>2.6529487231734419</v>
      </c>
      <c r="AA232" s="11">
        <v>1.6703861078345537</v>
      </c>
      <c r="AB232" s="13">
        <v>13.999461961461451</v>
      </c>
      <c r="AC232" s="14">
        <v>1026.4276588974167</v>
      </c>
      <c r="AD232" s="15">
        <v>4</v>
      </c>
      <c r="AE232" s="9">
        <v>1.3869849651322481</v>
      </c>
      <c r="AF232" s="9">
        <v>5.9637596862906497</v>
      </c>
      <c r="AG232" s="9">
        <v>9.18018809096192</v>
      </c>
      <c r="AH232" s="9">
        <v>13.740110724870716</v>
      </c>
      <c r="AI232" s="9">
        <v>8.7480683134849606</v>
      </c>
      <c r="AJ232" s="9">
        <v>2.5354976550429535</v>
      </c>
      <c r="AK232" s="9">
        <v>0.79954629260575272</v>
      </c>
      <c r="AL232" s="9">
        <v>1.5991975147014821</v>
      </c>
      <c r="AM232" s="9">
        <v>6.0653235055751287</v>
      </c>
      <c r="AN232" s="9">
        <v>9.0664196889052597</v>
      </c>
      <c r="AO232" s="9">
        <v>9.606604916509685</v>
      </c>
      <c r="AP232" s="9">
        <v>6.3867130185702008</v>
      </c>
      <c r="AQ232" s="9">
        <v>6.1909929634508511</v>
      </c>
      <c r="AR232" s="9">
        <v>1.2788767993617665</v>
      </c>
      <c r="AS232" s="9">
        <v>6.0499014713509816</v>
      </c>
      <c r="AT232" s="9">
        <v>9.308353932361813</v>
      </c>
      <c r="AU232" s="9">
        <v>14.071300197273789</v>
      </c>
      <c r="AV232" s="9">
        <v>8.8453282047819854</v>
      </c>
      <c r="AW232" s="9">
        <v>2.4720686379158758</v>
      </c>
      <c r="AX232" s="9">
        <v>0.66282176713278329</v>
      </c>
      <c r="AY232" s="9">
        <v>1.6005499969657577</v>
      </c>
      <c r="AZ232" s="9">
        <v>6.1413101247136197</v>
      </c>
      <c r="BA232" s="9">
        <v>9.2478078279682219</v>
      </c>
      <c r="BB232" s="9">
        <v>9.7575025799607253</v>
      </c>
      <c r="BC232" s="9">
        <v>6.3893070902876525</v>
      </c>
      <c r="BD232" s="9">
        <v>6.188395103794968</v>
      </c>
    </row>
    <row r="233" spans="3:56" x14ac:dyDescent="0.25">
      <c r="C233" s="111">
        <v>33.623899999999999</v>
      </c>
      <c r="F233" s="111">
        <v>10.526999999999999</v>
      </c>
      <c r="G233" s="112">
        <v>50</v>
      </c>
      <c r="J233" s="111">
        <v>2232.2199999999998</v>
      </c>
      <c r="K233" s="111">
        <v>2144.9499999999998</v>
      </c>
      <c r="L233" s="91">
        <v>7.7975384484557129</v>
      </c>
      <c r="M233" s="12">
        <v>716.1274591307789</v>
      </c>
      <c r="N233" s="11">
        <v>31.128301525739019</v>
      </c>
      <c r="O233" s="11">
        <v>2034.8829121620499</v>
      </c>
      <c r="P233" s="11">
        <v>78.938786312210723</v>
      </c>
      <c r="Q233" s="11">
        <v>1.8787798367777639</v>
      </c>
      <c r="R233" s="11">
        <v>1.1939117288170094</v>
      </c>
      <c r="S233" s="13">
        <v>16.475277907186992</v>
      </c>
      <c r="T233" s="14">
        <v>1026.0138501201241</v>
      </c>
      <c r="U233" s="91">
        <v>7.8837655410032115</v>
      </c>
      <c r="V233" s="12">
        <v>567.50384538529954</v>
      </c>
      <c r="W233" s="11">
        <v>29.825374017149844</v>
      </c>
      <c r="X233" s="11">
        <v>2038.0900981558066</v>
      </c>
      <c r="Y233" s="11">
        <v>77.034527827043178</v>
      </c>
      <c r="Z233" s="11">
        <v>1.8524293959353324</v>
      </c>
      <c r="AA233" s="11">
        <v>1.1668184202061695</v>
      </c>
      <c r="AB233" s="13">
        <v>16.767480776546993</v>
      </c>
      <c r="AC233" s="14">
        <v>1026.5844375158129</v>
      </c>
      <c r="AD233" s="15">
        <v>4</v>
      </c>
      <c r="AE233" s="9">
        <v>1.361834901966867</v>
      </c>
      <c r="AF233" s="9">
        <v>5.9821544482538753</v>
      </c>
      <c r="AG233" s="9">
        <v>9.208787428475846</v>
      </c>
      <c r="AH233" s="9">
        <v>13.818090629050232</v>
      </c>
      <c r="AI233" s="9">
        <v>8.7691372474553795</v>
      </c>
      <c r="AJ233" s="9">
        <v>2.5179341200255347</v>
      </c>
      <c r="AK233" s="9">
        <v>0.76387531092192784</v>
      </c>
      <c r="AL233" s="9">
        <v>1.5977849939506845</v>
      </c>
      <c r="AM233" s="9">
        <v>6.0809722886801492</v>
      </c>
      <c r="AN233" s="9">
        <v>9.1102877570229879</v>
      </c>
      <c r="AO233" s="9">
        <v>9.6409874406696847</v>
      </c>
      <c r="AP233" s="9">
        <v>6.3818192789797212</v>
      </c>
      <c r="AQ233" s="9">
        <v>6.1849156069935436</v>
      </c>
      <c r="AR233" s="9">
        <v>1.2793829101079832</v>
      </c>
      <c r="AS233" s="9">
        <v>6.0491280605175524</v>
      </c>
      <c r="AT233" s="9">
        <v>9.3063034950583869</v>
      </c>
      <c r="AU233" s="9">
        <v>14.070043741471066</v>
      </c>
      <c r="AV233" s="9">
        <v>8.8442382337771708</v>
      </c>
      <c r="AW233" s="9">
        <v>2.4704769264817128</v>
      </c>
      <c r="AX233" s="9">
        <v>0.66067254621678706</v>
      </c>
      <c r="AY233" s="9">
        <v>1.6000521800049485</v>
      </c>
      <c r="AZ233" s="9">
        <v>6.1403710486253473</v>
      </c>
      <c r="BA233" s="9">
        <v>9.2489603142464141</v>
      </c>
      <c r="BB233" s="9">
        <v>9.7570513376649473</v>
      </c>
      <c r="BC233" s="9">
        <v>6.3862900723115938</v>
      </c>
      <c r="BD233" s="9">
        <v>6.1855516847566703</v>
      </c>
    </row>
    <row r="234" spans="3:56" x14ac:dyDescent="0.25">
      <c r="C234" s="111">
        <v>34.005899999999997</v>
      </c>
      <c r="F234" s="111">
        <v>9.94</v>
      </c>
      <c r="G234" s="112">
        <v>100</v>
      </c>
      <c r="J234" s="111">
        <v>2259.61</v>
      </c>
      <c r="K234" s="111">
        <v>2201.5500000000002</v>
      </c>
      <c r="L234" s="91">
        <v>7.7062553632255222</v>
      </c>
      <c r="M234" s="12">
        <v>900.85789150751214</v>
      </c>
      <c r="N234" s="11">
        <v>39.834738687991333</v>
      </c>
      <c r="O234" s="11">
        <v>2096.507200893383</v>
      </c>
      <c r="P234" s="11">
        <v>65.20806041862555</v>
      </c>
      <c r="Q234" s="11">
        <v>1.5340879516841646</v>
      </c>
      <c r="R234" s="11">
        <v>0.97517098367174093</v>
      </c>
      <c r="S234" s="13">
        <v>17.683978291631366</v>
      </c>
      <c r="T234" s="14">
        <v>1026.6390460015314</v>
      </c>
      <c r="U234" s="91">
        <v>7.7838592139762239</v>
      </c>
      <c r="V234" s="12">
        <v>734.94530784650351</v>
      </c>
      <c r="W234" s="11">
        <v>38.538489464877323</v>
      </c>
      <c r="X234" s="11">
        <v>2099.3928917784697</v>
      </c>
      <c r="Y234" s="11">
        <v>63.618618756653227</v>
      </c>
      <c r="Z234" s="11">
        <v>1.5267001642209619</v>
      </c>
      <c r="AA234" s="11">
        <v>0.96235465199494286</v>
      </c>
      <c r="AB234" s="13">
        <v>18.01663776325292</v>
      </c>
      <c r="AC234" s="14">
        <v>1026.8872470424033</v>
      </c>
      <c r="AD234" s="15">
        <v>4</v>
      </c>
      <c r="AE234" s="9">
        <v>1.354394314733151</v>
      </c>
      <c r="AF234" s="9">
        <v>5.9850209773893548</v>
      </c>
      <c r="AG234" s="9">
        <v>9.2134504391172083</v>
      </c>
      <c r="AH234" s="9">
        <v>13.83973718055308</v>
      </c>
      <c r="AI234" s="9">
        <v>8.7719462096985126</v>
      </c>
      <c r="AJ234" s="9">
        <v>2.5089074619989757</v>
      </c>
      <c r="AK234" s="9">
        <v>0.74772587209843644</v>
      </c>
      <c r="AL234" s="9">
        <v>1.595465901659364</v>
      </c>
      <c r="AM234" s="9">
        <v>6.0828342594708928</v>
      </c>
      <c r="AN234" s="9">
        <v>9.1241665604574731</v>
      </c>
      <c r="AO234" s="9">
        <v>9.6491947125810285</v>
      </c>
      <c r="AP234" s="9">
        <v>6.3718766217335361</v>
      </c>
      <c r="AQ234" s="9">
        <v>6.1751071329372937</v>
      </c>
      <c r="AR234" s="9">
        <v>1.2803603332882412</v>
      </c>
      <c r="AS234" s="9">
        <v>6.047660179827905</v>
      </c>
      <c r="AT234" s="9">
        <v>9.3023687006179383</v>
      </c>
      <c r="AU234" s="9">
        <v>14.067639137953018</v>
      </c>
      <c r="AV234" s="9">
        <v>8.8421533614005607</v>
      </c>
      <c r="AW234" s="9">
        <v>2.4674154709964475</v>
      </c>
      <c r="AX234" s="9">
        <v>0.65647504891776121</v>
      </c>
      <c r="AY234" s="9">
        <v>1.5991097150428608</v>
      </c>
      <c r="AZ234" s="9">
        <v>6.138605444157176</v>
      </c>
      <c r="BA234" s="9">
        <v>9.2513628050765675</v>
      </c>
      <c r="BB234" s="9">
        <v>9.7561961471801641</v>
      </c>
      <c r="BC234" s="9">
        <v>6.3804971616796839</v>
      </c>
      <c r="BD234" s="9">
        <v>6.180078559392765</v>
      </c>
    </row>
    <row r="235" spans="3:56" x14ac:dyDescent="0.25">
      <c r="C235" s="111">
        <v>34.168199999999999</v>
      </c>
      <c r="F235" s="111">
        <v>9.5190000000000001</v>
      </c>
      <c r="G235" s="112">
        <v>170</v>
      </c>
      <c r="J235" s="111">
        <v>2270.75</v>
      </c>
      <c r="K235" s="111">
        <v>2228.8200000000002</v>
      </c>
      <c r="L235" s="91">
        <v>7.6544968595931087</v>
      </c>
      <c r="M235" s="12">
        <v>1017.6851876413303</v>
      </c>
      <c r="N235" s="11">
        <v>45.591484992724673</v>
      </c>
      <c r="O235" s="11">
        <v>2125.0312364606575</v>
      </c>
      <c r="P235" s="11">
        <v>58.19727854661781</v>
      </c>
      <c r="Q235" s="11">
        <v>1.3500562160469454</v>
      </c>
      <c r="R235" s="11">
        <v>0.85855183237519916</v>
      </c>
      <c r="S235" s="13">
        <v>18.19101012418334</v>
      </c>
      <c r="T235" s="14">
        <v>1027.1535809236109</v>
      </c>
      <c r="U235" s="91">
        <v>7.7276868686462956</v>
      </c>
      <c r="V235" s="12">
        <v>847.26402470394225</v>
      </c>
      <c r="W235" s="11">
        <v>44.385708457184691</v>
      </c>
      <c r="X235" s="11">
        <v>2127.5669191865718</v>
      </c>
      <c r="Y235" s="11">
        <v>56.867372356243237</v>
      </c>
      <c r="Z235" s="11">
        <v>1.3634913734208494</v>
      </c>
      <c r="AA235" s="11">
        <v>0.85973276501156481</v>
      </c>
      <c r="AB235" s="13">
        <v>18.51776363448235</v>
      </c>
      <c r="AC235" s="14">
        <v>1027.0159142538025</v>
      </c>
      <c r="AD235" s="15">
        <v>4</v>
      </c>
      <c r="AE235" s="9">
        <v>1.3487297152810482</v>
      </c>
      <c r="AF235" s="9">
        <v>5.9860152794844117</v>
      </c>
      <c r="AG235" s="9">
        <v>9.2169595014434442</v>
      </c>
      <c r="AH235" s="9">
        <v>13.854917241784625</v>
      </c>
      <c r="AI235" s="9">
        <v>8.772827818778909</v>
      </c>
      <c r="AJ235" s="9">
        <v>2.5026964408282044</v>
      </c>
      <c r="AK235" s="9">
        <v>0.73600358841686364</v>
      </c>
      <c r="AL235" s="9">
        <v>1.593296593790271</v>
      </c>
      <c r="AM235" s="9">
        <v>6.0834331685672449</v>
      </c>
      <c r="AN235" s="9">
        <v>9.1321272611098046</v>
      </c>
      <c r="AO235" s="9">
        <v>9.6536111716771096</v>
      </c>
      <c r="AP235" s="9">
        <v>6.3637089943845</v>
      </c>
      <c r="AQ235" s="9">
        <v>6.1671236610414795</v>
      </c>
      <c r="AR235" s="9">
        <v>1.2807756102048791</v>
      </c>
      <c r="AS235" s="9">
        <v>6.0470467958533867</v>
      </c>
      <c r="AT235" s="9">
        <v>9.3007069361741284</v>
      </c>
      <c r="AU235" s="9">
        <v>14.066626143182418</v>
      </c>
      <c r="AV235" s="9">
        <v>8.8412755399660163</v>
      </c>
      <c r="AW235" s="9">
        <v>2.4661196928436198</v>
      </c>
      <c r="AX235" s="9">
        <v>0.65467246766446741</v>
      </c>
      <c r="AY235" s="9">
        <v>1.5987167629903238</v>
      </c>
      <c r="AZ235" s="9">
        <v>6.1378742216166877</v>
      </c>
      <c r="BA235" s="9">
        <v>9.2524532807594735</v>
      </c>
      <c r="BB235" s="9">
        <v>9.7558392191626186</v>
      </c>
      <c r="BC235" s="9">
        <v>6.378049051093277</v>
      </c>
      <c r="BD235" s="9">
        <v>6.1777601348319937</v>
      </c>
    </row>
    <row r="236" spans="3:56" x14ac:dyDescent="0.25">
      <c r="C236" s="111">
        <v>34.228700000000003</v>
      </c>
      <c r="F236" s="111">
        <v>9.3070000000000004</v>
      </c>
      <c r="G236" s="112">
        <v>230</v>
      </c>
      <c r="J236" s="111">
        <v>2279.67</v>
      </c>
      <c r="K236" s="111">
        <v>2242.91</v>
      </c>
      <c r="L236" s="91">
        <v>7.637172157074767</v>
      </c>
      <c r="M236" s="12">
        <v>1057.6824505817597</v>
      </c>
      <c r="N236" s="11">
        <v>47.703161437030069</v>
      </c>
      <c r="O236" s="11">
        <v>2139.0784594631618</v>
      </c>
      <c r="P236" s="11">
        <v>56.128379099807852</v>
      </c>
      <c r="Q236" s="11">
        <v>1.2870539148538529</v>
      </c>
      <c r="R236" s="11">
        <v>0.81887548409484945</v>
      </c>
      <c r="S236" s="13">
        <v>18.336170736016271</v>
      </c>
      <c r="T236" s="14">
        <v>1027.5076852749005</v>
      </c>
      <c r="U236" s="91">
        <v>7.7093730065828163</v>
      </c>
      <c r="V236" s="12">
        <v>889.34822189608349</v>
      </c>
      <c r="W236" s="11">
        <v>46.573773802266885</v>
      </c>
      <c r="X236" s="11">
        <v>2141.384831964077</v>
      </c>
      <c r="Y236" s="11">
        <v>54.95139423365584</v>
      </c>
      <c r="Z236" s="11">
        <v>1.3171209045994885</v>
      </c>
      <c r="AA236" s="11">
        <v>0.83058507897403899</v>
      </c>
      <c r="AB236" s="13">
        <v>18.646010346854048</v>
      </c>
      <c r="AC236" s="14">
        <v>1027.0638790437156</v>
      </c>
      <c r="AD236" s="15">
        <v>4</v>
      </c>
      <c r="AE236" s="9">
        <v>1.3458081364135204</v>
      </c>
      <c r="AF236" s="9">
        <v>5.9854926047236683</v>
      </c>
      <c r="AG236" s="9">
        <v>9.2182163708148774</v>
      </c>
      <c r="AH236" s="9">
        <v>13.861859952365746</v>
      </c>
      <c r="AI236" s="9">
        <v>8.7721022716629307</v>
      </c>
      <c r="AJ236" s="9">
        <v>2.4992839573631076</v>
      </c>
      <c r="AK236" s="9">
        <v>0.72947912613537069</v>
      </c>
      <c r="AL236" s="9">
        <v>1.5916537435340732</v>
      </c>
      <c r="AM236" s="9">
        <v>6.0828623080126256</v>
      </c>
      <c r="AN236" s="9">
        <v>9.1349025226929097</v>
      </c>
      <c r="AO236" s="9">
        <v>9.6546054943933068</v>
      </c>
      <c r="AP236" s="9">
        <v>6.357905752776162</v>
      </c>
      <c r="AQ236" s="9">
        <v>6.1615268820211364</v>
      </c>
      <c r="AR236" s="9">
        <v>1.280930411520077</v>
      </c>
      <c r="AS236" s="9">
        <v>6.046819714045391</v>
      </c>
      <c r="AT236" s="9">
        <v>9.3000890128287832</v>
      </c>
      <c r="AU236" s="9">
        <v>14.066249840397063</v>
      </c>
      <c r="AV236" s="9">
        <v>8.8409495283883075</v>
      </c>
      <c r="AW236" s="9">
        <v>2.4656374169497144</v>
      </c>
      <c r="AX236" s="9">
        <v>0.65399753330985755</v>
      </c>
      <c r="AY236" s="9">
        <v>1.5985714136804889</v>
      </c>
      <c r="AZ236" s="9">
        <v>6.1376045089440376</v>
      </c>
      <c r="BA236" s="9">
        <v>9.2528703192679664</v>
      </c>
      <c r="BB236" s="9">
        <v>9.7557071384418865</v>
      </c>
      <c r="BC236" s="9">
        <v>6.3771384403022848</v>
      </c>
      <c r="BD236" s="9">
        <v>6.1768969225891626</v>
      </c>
    </row>
    <row r="237" spans="3:56" x14ac:dyDescent="0.25">
      <c r="C237" s="111">
        <v>34.249499999999998</v>
      </c>
      <c r="F237" s="111">
        <v>8.7189999999999994</v>
      </c>
      <c r="G237" s="112">
        <v>320</v>
      </c>
      <c r="J237" s="111">
        <v>2285.96</v>
      </c>
      <c r="K237" s="111">
        <v>2256.5700000000002</v>
      </c>
      <c r="L237" s="91">
        <v>7.6169639493715939</v>
      </c>
      <c r="M237" s="12">
        <v>1099.9895113848545</v>
      </c>
      <c r="N237" s="11">
        <v>50.59526937042525</v>
      </c>
      <c r="O237" s="11">
        <v>2152.9454601020734</v>
      </c>
      <c r="P237" s="11">
        <v>53.029270527501538</v>
      </c>
      <c r="Q237" s="11">
        <v>1.1951533384852548</v>
      </c>
      <c r="R237" s="11">
        <v>0.76053572891273014</v>
      </c>
      <c r="S237" s="13">
        <v>18.534223756765503</v>
      </c>
      <c r="T237" s="14">
        <v>1028.0279960136913</v>
      </c>
      <c r="U237" s="91">
        <v>7.683958594993193</v>
      </c>
      <c r="V237" s="12">
        <v>948.76069888524546</v>
      </c>
      <c r="W237" s="11">
        <v>49.679023864806375</v>
      </c>
      <c r="X237" s="11">
        <v>2154.7148726249957</v>
      </c>
      <c r="Y237" s="11">
        <v>52.176103510198352</v>
      </c>
      <c r="Z237" s="11">
        <v>1.2504593417181888</v>
      </c>
      <c r="AA237" s="11">
        <v>0.78857723381059053</v>
      </c>
      <c r="AB237" s="13">
        <v>18.790128999655199</v>
      </c>
      <c r="AC237" s="14">
        <v>1027.0803696651119</v>
      </c>
      <c r="AD237" s="15">
        <v>4</v>
      </c>
      <c r="AE237" s="9">
        <v>1.3372786316498806</v>
      </c>
      <c r="AF237" s="9">
        <v>5.9880408337010858</v>
      </c>
      <c r="AG237" s="9">
        <v>9.2254813244977729</v>
      </c>
      <c r="AH237" s="9">
        <v>13.884851165998164</v>
      </c>
      <c r="AI237" s="9">
        <v>8.7748650084314725</v>
      </c>
      <c r="AJ237" s="9">
        <v>2.4923752479219927</v>
      </c>
      <c r="AK237" s="9">
        <v>0.71525285928187721</v>
      </c>
      <c r="AL237" s="9">
        <v>1.5893759782411241</v>
      </c>
      <c r="AM237" s="9">
        <v>6.0850653658612073</v>
      </c>
      <c r="AN237" s="9">
        <v>9.1452745909586906</v>
      </c>
      <c r="AO237" s="9">
        <v>9.6616952906675682</v>
      </c>
      <c r="AP237" s="9">
        <v>6.3501356587625306</v>
      </c>
      <c r="AQ237" s="9">
        <v>6.1538316512283648</v>
      </c>
      <c r="AR237" s="9">
        <v>1.2809836324681121</v>
      </c>
      <c r="AS237" s="9">
        <v>6.0467418395345449</v>
      </c>
      <c r="AT237" s="9">
        <v>9.2998767612782576</v>
      </c>
      <c r="AU237" s="9">
        <v>14.066120630350481</v>
      </c>
      <c r="AV237" s="9">
        <v>8.8408375966610038</v>
      </c>
      <c r="AW237" s="9">
        <v>2.4654717030375277</v>
      </c>
      <c r="AX237" s="9">
        <v>0.65376511114758429</v>
      </c>
      <c r="AY237" s="9">
        <v>1.598521583610909</v>
      </c>
      <c r="AZ237" s="9">
        <v>6.1375121391239054</v>
      </c>
      <c r="BA237" s="9">
        <v>9.2530150160853299</v>
      </c>
      <c r="BB237" s="9">
        <v>9.7556618501269039</v>
      </c>
      <c r="BC237" s="9">
        <v>6.3768256151059006</v>
      </c>
      <c r="BD237" s="9">
        <v>6.1766002746106441</v>
      </c>
    </row>
    <row r="238" spans="3:56" x14ac:dyDescent="0.25">
      <c r="C238" s="111">
        <v>34.265500000000003</v>
      </c>
      <c r="F238" s="111">
        <v>6.8490000000000002</v>
      </c>
      <c r="G238" s="112">
        <v>516</v>
      </c>
      <c r="J238" s="111">
        <v>2300.25</v>
      </c>
      <c r="K238" s="111">
        <v>2291.8200000000002</v>
      </c>
      <c r="L238" s="91">
        <v>7.564251940531161</v>
      </c>
      <c r="M238" s="12">
        <v>1218.3049660820391</v>
      </c>
      <c r="N238" s="11">
        <v>59.745262632385547</v>
      </c>
      <c r="O238" s="11">
        <v>2187.1783676264504</v>
      </c>
      <c r="P238" s="11">
        <v>44.896369741164186</v>
      </c>
      <c r="Q238" s="11">
        <v>0.97316944383508308</v>
      </c>
      <c r="R238" s="11">
        <v>0.61904423812828901</v>
      </c>
      <c r="S238" s="13">
        <v>18.86154758052492</v>
      </c>
      <c r="T238" s="14">
        <v>1029.2192898368362</v>
      </c>
      <c r="U238" s="91">
        <v>7.6120896724501508</v>
      </c>
      <c r="V238" s="12">
        <v>1136.4430385510925</v>
      </c>
      <c r="W238" s="11">
        <v>59.500840560262226</v>
      </c>
      <c r="X238" s="11">
        <v>2187.4128997171838</v>
      </c>
      <c r="Y238" s="11">
        <v>44.906259722554054</v>
      </c>
      <c r="Z238" s="11">
        <v>1.076135860636128</v>
      </c>
      <c r="AA238" s="11">
        <v>0.67866298994025509</v>
      </c>
      <c r="AB238" s="13">
        <v>18.931823003731097</v>
      </c>
      <c r="AC238" s="14">
        <v>1027.09305484471</v>
      </c>
      <c r="AD238" s="15">
        <v>4</v>
      </c>
      <c r="AE238" s="9">
        <v>1.3094525399230943</v>
      </c>
      <c r="AF238" s="9">
        <v>6.0006712132639279</v>
      </c>
      <c r="AG238" s="9">
        <v>9.2519249164022632</v>
      </c>
      <c r="AH238" s="9">
        <v>13.962306208128966</v>
      </c>
      <c r="AI238" s="9">
        <v>8.7886982509721996</v>
      </c>
      <c r="AJ238" s="9">
        <v>2.4723121741655056</v>
      </c>
      <c r="AK238" s="9">
        <v>0.67280652705624999</v>
      </c>
      <c r="AL238" s="9">
        <v>1.5845928001149665</v>
      </c>
      <c r="AM238" s="9">
        <v>6.0962650256494388</v>
      </c>
      <c r="AN238" s="9">
        <v>9.1823186576260216</v>
      </c>
      <c r="AO238" s="9">
        <v>9.6894315967250666</v>
      </c>
      <c r="AP238" s="9">
        <v>6.333002083381249</v>
      </c>
      <c r="AQ238" s="9">
        <v>6.1365353048237665</v>
      </c>
      <c r="AR238" s="9">
        <v>1.2810245716589082</v>
      </c>
      <c r="AS238" s="9">
        <v>6.0466820045124736</v>
      </c>
      <c r="AT238" s="9">
        <v>9.2997135575361867</v>
      </c>
      <c r="AU238" s="9">
        <v>14.06602129484545</v>
      </c>
      <c r="AV238" s="9">
        <v>8.8407515480718679</v>
      </c>
      <c r="AW238" s="9">
        <v>2.4653442632481966</v>
      </c>
      <c r="AX238" s="9">
        <v>0.6535861925959795</v>
      </c>
      <c r="AY238" s="9">
        <v>1.5984833019045122</v>
      </c>
      <c r="AZ238" s="9">
        <v>6.1374412098356226</v>
      </c>
      <c r="BA238" s="9">
        <v>9.2531267796898771</v>
      </c>
      <c r="BB238" s="9">
        <v>9.7556270551195166</v>
      </c>
      <c r="BC238" s="9">
        <v>6.376585065133078</v>
      </c>
      <c r="BD238" s="9">
        <v>6.1763721273914491</v>
      </c>
    </row>
    <row r="239" spans="3:56" x14ac:dyDescent="0.25">
      <c r="C239" s="111">
        <v>33.372199999999999</v>
      </c>
      <c r="F239" s="111">
        <v>19.748000000000001</v>
      </c>
      <c r="G239" s="112">
        <v>2</v>
      </c>
      <c r="J239" s="111">
        <v>2232.54</v>
      </c>
      <c r="K239" s="111">
        <v>1999.84</v>
      </c>
      <c r="L239" s="91">
        <v>8.0230889854026124</v>
      </c>
      <c r="M239" s="12">
        <v>407.12645906460148</v>
      </c>
      <c r="N239" s="11">
        <v>13.404253927168417</v>
      </c>
      <c r="O239" s="11">
        <v>1818.6477639459638</v>
      </c>
      <c r="P239" s="11">
        <v>167.78798212686743</v>
      </c>
      <c r="Q239" s="11">
        <v>4.0588480201437287</v>
      </c>
      <c r="R239" s="11">
        <v>2.6284273474108173</v>
      </c>
      <c r="S239" s="13">
        <v>10.926646127555001</v>
      </c>
      <c r="T239" s="14">
        <v>1023.5960905946195</v>
      </c>
      <c r="U239" s="91">
        <v>8.2554714262771736</v>
      </c>
      <c r="V239" s="12">
        <v>216.32156223514497</v>
      </c>
      <c r="W239" s="11">
        <v>11.385731164596519</v>
      </c>
      <c r="X239" s="11">
        <v>1826.9158728438158</v>
      </c>
      <c r="Y239" s="11">
        <v>161.53839599158735</v>
      </c>
      <c r="Z239" s="11">
        <v>3.8896454048004152</v>
      </c>
      <c r="AA239" s="11">
        <v>2.4487800163989077</v>
      </c>
      <c r="AB239" s="13">
        <v>11.14792253813979</v>
      </c>
      <c r="AC239" s="14">
        <v>1026.3849390542239</v>
      </c>
      <c r="AD239" s="15">
        <v>4</v>
      </c>
      <c r="AE239" s="9">
        <v>1.4824866815873574</v>
      </c>
      <c r="AF239" s="9">
        <v>5.8905830388526486</v>
      </c>
      <c r="AG239" s="9">
        <v>9.0580767272587366</v>
      </c>
      <c r="AH239" s="9">
        <v>13.43148710119331</v>
      </c>
      <c r="AI239" s="9">
        <v>8.6591747896424689</v>
      </c>
      <c r="AJ239" s="9">
        <v>2.5974846624676329</v>
      </c>
      <c r="AK239" s="9">
        <v>0.92765301935902778</v>
      </c>
      <c r="AL239" s="9">
        <v>1.604666270468146</v>
      </c>
      <c r="AM239" s="9">
        <v>6.0032662502410057</v>
      </c>
      <c r="AN239" s="9">
        <v>8.8957963362114629</v>
      </c>
      <c r="AO239" s="9">
        <v>9.4711408086201523</v>
      </c>
      <c r="AP239" s="9">
        <v>6.3921390196125838</v>
      </c>
      <c r="AQ239" s="9">
        <v>6.2034322068997465</v>
      </c>
      <c r="AR239" s="9">
        <v>1.2787388854627719</v>
      </c>
      <c r="AS239" s="9">
        <v>6.05011380237982</v>
      </c>
      <c r="AT239" s="9">
        <v>9.3089142091757626</v>
      </c>
      <c r="AU239" s="9">
        <v>14.071643933609</v>
      </c>
      <c r="AV239" s="9">
        <v>8.8456264588740989</v>
      </c>
      <c r="AW239" s="9">
        <v>2.4725031501510997</v>
      </c>
      <c r="AX239" s="9">
        <v>0.66340462437438397</v>
      </c>
      <c r="AY239" s="9">
        <v>1.6006868220010375</v>
      </c>
      <c r="AZ239" s="9">
        <v>6.1415689873376156</v>
      </c>
      <c r="BA239" s="9">
        <v>9.2475047079029427</v>
      </c>
      <c r="BB239" s="9">
        <v>9.7576265485147626</v>
      </c>
      <c r="BC239" s="9">
        <v>6.390131325814516</v>
      </c>
      <c r="BD239" s="9">
        <v>6.1891710871426975</v>
      </c>
    </row>
    <row r="240" spans="3:56" x14ac:dyDescent="0.25">
      <c r="C240" s="111">
        <v>33.342199999999998</v>
      </c>
      <c r="F240" s="111">
        <v>14.708</v>
      </c>
      <c r="G240" s="112">
        <v>30</v>
      </c>
      <c r="J240" s="111">
        <v>2231.77</v>
      </c>
      <c r="K240" s="111">
        <v>2011.7</v>
      </c>
      <c r="L240" s="91">
        <v>8.0742672761873386</v>
      </c>
      <c r="M240" s="12">
        <v>353.58926255413104</v>
      </c>
      <c r="N240" s="11">
        <v>13.487828843102754</v>
      </c>
      <c r="O240" s="11">
        <v>1840.4936405989395</v>
      </c>
      <c r="P240" s="11">
        <v>157.71853055795773</v>
      </c>
      <c r="Q240" s="11">
        <v>3.7807104599556136</v>
      </c>
      <c r="R240" s="11">
        <v>2.4201622686678266</v>
      </c>
      <c r="S240" s="13">
        <v>11.345144957514202</v>
      </c>
      <c r="T240" s="14">
        <v>1024.8912754722826</v>
      </c>
      <c r="U240" s="91">
        <v>8.2296583945722741</v>
      </c>
      <c r="V240" s="12">
        <v>231.96507185891832</v>
      </c>
      <c r="W240" s="11">
        <v>12.211259808215289</v>
      </c>
      <c r="X240" s="11">
        <v>1845.8082815804651</v>
      </c>
      <c r="Y240" s="11">
        <v>153.68045861131955</v>
      </c>
      <c r="Z240" s="11">
        <v>3.7010202371462211</v>
      </c>
      <c r="AA240" s="11">
        <v>2.329883410424356</v>
      </c>
      <c r="AB240" s="13">
        <v>11.492557029330737</v>
      </c>
      <c r="AC240" s="14">
        <v>1026.3611621336202</v>
      </c>
      <c r="AD240" s="15">
        <v>4</v>
      </c>
      <c r="AE240" s="9">
        <v>1.4185570220836359</v>
      </c>
      <c r="AF240" s="9">
        <v>5.9392750012426312</v>
      </c>
      <c r="AG240" s="9">
        <v>9.1413188752106826</v>
      </c>
      <c r="AH240" s="9">
        <v>13.639852647102993</v>
      </c>
      <c r="AI240" s="9">
        <v>8.7192212569279022</v>
      </c>
      <c r="AJ240" s="9">
        <v>2.5559299809466527</v>
      </c>
      <c r="AK240" s="9">
        <v>0.84182024750643825</v>
      </c>
      <c r="AL240" s="9">
        <v>1.6003977319396139</v>
      </c>
      <c r="AM240" s="9">
        <v>6.0444020365026123</v>
      </c>
      <c r="AN240" s="9">
        <v>9.0105746778385694</v>
      </c>
      <c r="AO240" s="9">
        <v>9.5618827286915788</v>
      </c>
      <c r="AP240" s="9">
        <v>6.3885783629502457</v>
      </c>
      <c r="AQ240" s="9">
        <v>6.1948494299314527</v>
      </c>
      <c r="AR240" s="9">
        <v>1.2786621244800289</v>
      </c>
      <c r="AS240" s="9">
        <v>6.0502322758111031</v>
      </c>
      <c r="AT240" s="9">
        <v>9.3092263369030466</v>
      </c>
      <c r="AU240" s="9">
        <v>14.071835505042683</v>
      </c>
      <c r="AV240" s="9">
        <v>8.8457926935940776</v>
      </c>
      <c r="AW240" s="9">
        <v>2.472745138092058</v>
      </c>
      <c r="AX240" s="9">
        <v>0.66372852090571932</v>
      </c>
      <c r="AY240" s="9">
        <v>1.6007631951397834</v>
      </c>
      <c r="AZ240" s="9">
        <v>6.1417136194619042</v>
      </c>
      <c r="BA240" s="9">
        <v>9.2473380317320046</v>
      </c>
      <c r="BB240" s="9">
        <v>9.7576957351912501</v>
      </c>
      <c r="BC240" s="9">
        <v>6.3905904782120277</v>
      </c>
      <c r="BD240" s="9">
        <v>6.1896032074539793</v>
      </c>
    </row>
    <row r="241" spans="3:56" x14ac:dyDescent="0.25">
      <c r="C241" s="111">
        <v>33.388300000000001</v>
      </c>
      <c r="F241" s="111">
        <v>12.448</v>
      </c>
      <c r="G241" s="112">
        <v>50</v>
      </c>
      <c r="J241" s="111">
        <v>2226.2199999999998</v>
      </c>
      <c r="K241" s="111">
        <v>2089.6</v>
      </c>
      <c r="L241" s="91">
        <v>7.9126787758224451</v>
      </c>
      <c r="M241" s="12">
        <v>537.1033065404747</v>
      </c>
      <c r="N241" s="11">
        <v>21.974139701425969</v>
      </c>
      <c r="O241" s="11">
        <v>1961.2679764820707</v>
      </c>
      <c r="P241" s="11">
        <v>106.35788381650305</v>
      </c>
      <c r="Q241" s="11">
        <v>2.536660655004519</v>
      </c>
      <c r="R241" s="11">
        <v>1.6169157186604479</v>
      </c>
      <c r="S241" s="13">
        <v>14.243611167512642</v>
      </c>
      <c r="T241" s="14">
        <v>1025.4772055342826</v>
      </c>
      <c r="U241" s="91">
        <v>8.0306607830685035</v>
      </c>
      <c r="V241" s="12">
        <v>390.50842662967131</v>
      </c>
      <c r="W241" s="11">
        <v>20.551821972881726</v>
      </c>
      <c r="X241" s="11">
        <v>1965.4445884858487</v>
      </c>
      <c r="Y241" s="11">
        <v>103.60358954126907</v>
      </c>
      <c r="Z241" s="11">
        <v>2.4944351723541094</v>
      </c>
      <c r="AA241" s="11">
        <v>1.5704584055415192</v>
      </c>
      <c r="AB241" s="13">
        <v>14.483732822967369</v>
      </c>
      <c r="AC241" s="14">
        <v>1026.3976994403522</v>
      </c>
      <c r="AD241" s="15">
        <v>4</v>
      </c>
      <c r="AE241" s="9">
        <v>1.3881459447755411</v>
      </c>
      <c r="AF241" s="9">
        <v>5.9620537198089218</v>
      </c>
      <c r="AG241" s="9">
        <v>9.1784460254010742</v>
      </c>
      <c r="AH241" s="9">
        <v>13.735742061891486</v>
      </c>
      <c r="AI241" s="9">
        <v>8.7461185493470879</v>
      </c>
      <c r="AJ241" s="9">
        <v>2.5362063939417565</v>
      </c>
      <c r="AK241" s="9">
        <v>0.8008823591033073</v>
      </c>
      <c r="AL241" s="9">
        <v>1.5988582501993591</v>
      </c>
      <c r="AM241" s="9">
        <v>6.0638961260097348</v>
      </c>
      <c r="AN241" s="9">
        <v>9.0632090621863792</v>
      </c>
      <c r="AO241" s="9">
        <v>9.6039131944665144</v>
      </c>
      <c r="AP241" s="9">
        <v>6.385780296597666</v>
      </c>
      <c r="AQ241" s="9">
        <v>6.1902053067870391</v>
      </c>
      <c r="AR241" s="9">
        <v>1.2787800805235106</v>
      </c>
      <c r="AS241" s="9">
        <v>6.0500503080084185</v>
      </c>
      <c r="AT241" s="9">
        <v>9.3087467847722127</v>
      </c>
      <c r="AU241" s="9">
        <v>14.07154119810788</v>
      </c>
      <c r="AV241" s="9">
        <v>8.8455373142593103</v>
      </c>
      <c r="AW241" s="9">
        <v>2.4723733258939586</v>
      </c>
      <c r="AX241" s="9">
        <v>0.66323064861694969</v>
      </c>
      <c r="AY241" s="9">
        <v>1.6006458994629953</v>
      </c>
      <c r="AZ241" s="9">
        <v>6.1414915311816838</v>
      </c>
      <c r="BA241" s="9">
        <v>9.2475947582484608</v>
      </c>
      <c r="BB241" s="9">
        <v>9.757589473648089</v>
      </c>
      <c r="BC241" s="9">
        <v>6.3898850304155772</v>
      </c>
      <c r="BD241" s="9">
        <v>6.1889392471905564</v>
      </c>
    </row>
    <row r="242" spans="3:56" x14ac:dyDescent="0.25">
      <c r="C242" s="111">
        <v>33.570500000000003</v>
      </c>
      <c r="F242" s="111">
        <v>9.2710000000000008</v>
      </c>
      <c r="G242" s="112">
        <v>100</v>
      </c>
      <c r="J242" s="111">
        <v>2232.35</v>
      </c>
      <c r="K242" s="111">
        <v>2162.6799999999998</v>
      </c>
      <c r="L242" s="91">
        <v>7.7595334581931255</v>
      </c>
      <c r="M242" s="12">
        <v>779.33114953101722</v>
      </c>
      <c r="N242" s="11">
        <v>35.325465521515042</v>
      </c>
      <c r="O242" s="11">
        <v>2057.6209247513443</v>
      </c>
      <c r="P242" s="11">
        <v>69.733609727140148</v>
      </c>
      <c r="Q242" s="11">
        <v>1.6444723037503983</v>
      </c>
      <c r="R242" s="11">
        <v>1.0433113393816711</v>
      </c>
      <c r="S242" s="13">
        <v>17.305011933116138</v>
      </c>
      <c r="T242" s="14">
        <v>1026.4104624797299</v>
      </c>
      <c r="U242" s="91">
        <v>7.8280012281871318</v>
      </c>
      <c r="V242" s="12">
        <v>652.29952174326968</v>
      </c>
      <c r="W242" s="11">
        <v>34.292629278733415</v>
      </c>
      <c r="X242" s="11">
        <v>2059.994457488493</v>
      </c>
      <c r="Y242" s="11">
        <v>68.392913232773154</v>
      </c>
      <c r="Z242" s="11">
        <v>1.6450927207695909</v>
      </c>
      <c r="AA242" s="11">
        <v>1.0361095223327781</v>
      </c>
      <c r="AB242" s="13">
        <v>17.560549884677787</v>
      </c>
      <c r="AC242" s="14">
        <v>1026.5421109426775</v>
      </c>
      <c r="AD242" s="15">
        <v>4</v>
      </c>
      <c r="AE242" s="9">
        <v>1.3436341414277411</v>
      </c>
      <c r="AF242" s="9">
        <v>5.9942559841383218</v>
      </c>
      <c r="AG242" s="9">
        <v>9.2294566791359358</v>
      </c>
      <c r="AH242" s="9">
        <v>13.872408374024985</v>
      </c>
      <c r="AI242" s="9">
        <v>8.7829637166613352</v>
      </c>
      <c r="AJ242" s="9">
        <v>2.5066183914434856</v>
      </c>
      <c r="AK242" s="9">
        <v>0.73954652730067605</v>
      </c>
      <c r="AL242" s="9">
        <v>1.5966370950561166</v>
      </c>
      <c r="AM242" s="9">
        <v>6.0916533549782184</v>
      </c>
      <c r="AN242" s="9">
        <v>9.1382190909049807</v>
      </c>
      <c r="AO242" s="9">
        <v>9.663596302145395</v>
      </c>
      <c r="AP242" s="9">
        <v>6.3785085254698606</v>
      </c>
      <c r="AQ242" s="9">
        <v>6.1808958895904116</v>
      </c>
      <c r="AR242" s="9">
        <v>1.2792462755587015</v>
      </c>
      <c r="AS242" s="9">
        <v>6.0493359608514039</v>
      </c>
      <c r="AT242" s="9">
        <v>9.3068561769351135</v>
      </c>
      <c r="AU242" s="9">
        <v>14.070382178378312</v>
      </c>
      <c r="AV242" s="9">
        <v>8.8445317894800315</v>
      </c>
      <c r="AW242" s="9">
        <v>2.4709062012109664</v>
      </c>
      <c r="AX242" s="9">
        <v>0.66125437435442602</v>
      </c>
      <c r="AY242" s="9">
        <v>1.6001859117848154</v>
      </c>
      <c r="AZ242" s="9">
        <v>6.14062288942905</v>
      </c>
      <c r="BA242" s="9">
        <v>9.2486429841832098</v>
      </c>
      <c r="BB242" s="9">
        <v>9.7571725892487198</v>
      </c>
      <c r="BC242" s="9">
        <v>6.3871033863862472</v>
      </c>
      <c r="BD242" s="9">
        <v>6.186318670782069</v>
      </c>
    </row>
    <row r="243" spans="3:56" x14ac:dyDescent="0.25">
      <c r="C243" s="111">
        <v>33.968600000000002</v>
      </c>
      <c r="F243" s="111">
        <v>8.7590000000000003</v>
      </c>
      <c r="G243" s="112">
        <v>170</v>
      </c>
      <c r="J243" s="111">
        <v>2258.13</v>
      </c>
      <c r="K243" s="111">
        <v>2207.27</v>
      </c>
      <c r="L243" s="91">
        <v>7.697520504397569</v>
      </c>
      <c r="M243" s="12">
        <v>908.03465339917159</v>
      </c>
      <c r="N243" s="11">
        <v>41.777620590794591</v>
      </c>
      <c r="O243" s="11">
        <v>2104.0508317730464</v>
      </c>
      <c r="P243" s="11">
        <v>61.441547636158923</v>
      </c>
      <c r="Q243" s="11">
        <v>1.426578223059956</v>
      </c>
      <c r="R243" s="11">
        <v>0.9057748082173197</v>
      </c>
      <c r="S243" s="13">
        <v>18.016999336513418</v>
      </c>
      <c r="T243" s="14">
        <v>1027.1219993501259</v>
      </c>
      <c r="U243" s="91">
        <v>7.7602051498103446</v>
      </c>
      <c r="V243" s="12">
        <v>778.62798498060829</v>
      </c>
      <c r="W243" s="11">
        <v>40.838061141702561</v>
      </c>
      <c r="X243" s="11">
        <v>2106.0479292562768</v>
      </c>
      <c r="Y243" s="11">
        <v>60.384009602020591</v>
      </c>
      <c r="Z243" s="11">
        <v>1.4493676378987677</v>
      </c>
      <c r="AA243" s="11">
        <v>0.91354434136560969</v>
      </c>
      <c r="AB243" s="13">
        <v>18.266779950354383</v>
      </c>
      <c r="AC243" s="14">
        <v>1026.8576776570192</v>
      </c>
      <c r="AD243" s="15">
        <v>4</v>
      </c>
      <c r="AE243" s="9">
        <v>1.3371587213803446</v>
      </c>
      <c r="AF243" s="9">
        <v>5.9954079781389655</v>
      </c>
      <c r="AG243" s="9">
        <v>9.2321145856292386</v>
      </c>
      <c r="AH243" s="9">
        <v>13.890189745255416</v>
      </c>
      <c r="AI243" s="9">
        <v>8.78372016811538</v>
      </c>
      <c r="AJ243" s="9">
        <v>2.4977017949390232</v>
      </c>
      <c r="AK243" s="9">
        <v>0.72372370286813759</v>
      </c>
      <c r="AL243" s="9">
        <v>1.593840450455996</v>
      </c>
      <c r="AM243" s="9">
        <v>6.0920273361735564</v>
      </c>
      <c r="AN243" s="9">
        <v>9.1495856836206215</v>
      </c>
      <c r="AO243" s="9">
        <v>9.6693530790611284</v>
      </c>
      <c r="AP243" s="9">
        <v>6.3666377141830752</v>
      </c>
      <c r="AQ243" s="9">
        <v>6.1693623617586972</v>
      </c>
      <c r="AR243" s="9">
        <v>1.2802648937996977</v>
      </c>
      <c r="AS243" s="9">
        <v>6.0478020142272921</v>
      </c>
      <c r="AT243" s="9">
        <v>9.3027514528638733</v>
      </c>
      <c r="AU243" s="9">
        <v>14.067872670795671</v>
      </c>
      <c r="AV243" s="9">
        <v>8.8423557737315015</v>
      </c>
      <c r="AW243" s="9">
        <v>2.4677136825461119</v>
      </c>
      <c r="AX243" s="9">
        <v>0.65688768275631515</v>
      </c>
      <c r="AY243" s="9">
        <v>1.5992006503445813</v>
      </c>
      <c r="AZ243" s="9">
        <v>6.138775081817915</v>
      </c>
      <c r="BA243" s="9">
        <v>9.2511180374992357</v>
      </c>
      <c r="BB243" s="9">
        <v>9.7562787147555099</v>
      </c>
      <c r="BC243" s="9">
        <v>6.3810608829528999</v>
      </c>
      <c r="BD243" s="9">
        <v>6.1806119548425773</v>
      </c>
    </row>
    <row r="244" spans="3:56" x14ac:dyDescent="0.25">
      <c r="C244" s="111">
        <v>34.049100000000003</v>
      </c>
      <c r="F244" s="111">
        <v>7.9649999999999999</v>
      </c>
      <c r="G244" s="112">
        <v>230</v>
      </c>
      <c r="J244" s="111">
        <v>2269.2800000000002</v>
      </c>
      <c r="K244" s="111">
        <v>2238.69</v>
      </c>
      <c r="L244" s="91">
        <v>7.6373877073238932</v>
      </c>
      <c r="M244" s="12">
        <v>1045.8051441208449</v>
      </c>
      <c r="N244" s="11">
        <v>49.409265621191949</v>
      </c>
      <c r="O244" s="11">
        <v>2136.3382504132387</v>
      </c>
      <c r="P244" s="11">
        <v>52.942483965569295</v>
      </c>
      <c r="Q244" s="11">
        <v>1.2144689709100402</v>
      </c>
      <c r="R244" s="11">
        <v>0.7708267286894166</v>
      </c>
      <c r="S244" s="13">
        <v>18.576650669062474</v>
      </c>
      <c r="T244" s="14">
        <v>1027.5816523071012</v>
      </c>
      <c r="U244" s="91">
        <v>7.6900437442360117</v>
      </c>
      <c r="V244" s="12">
        <v>928.71247756127741</v>
      </c>
      <c r="W244" s="11">
        <v>48.68670812195127</v>
      </c>
      <c r="X244" s="11">
        <v>2137.754556267786</v>
      </c>
      <c r="Y244" s="11">
        <v>52.248735610262379</v>
      </c>
      <c r="Z244" s="11">
        <v>1.2535575848449105</v>
      </c>
      <c r="AA244" s="11">
        <v>0.7902428333913597</v>
      </c>
      <c r="AB244" s="13">
        <v>18.780283444352076</v>
      </c>
      <c r="AC244" s="14">
        <v>1026.9214941278829</v>
      </c>
      <c r="AD244" s="15">
        <v>4</v>
      </c>
      <c r="AE244" s="9">
        <v>1.3256423747722745</v>
      </c>
      <c r="AF244" s="9">
        <v>6.0015260898094605</v>
      </c>
      <c r="AG244" s="9">
        <v>9.2432534100238986</v>
      </c>
      <c r="AH244" s="9">
        <v>13.923258420915833</v>
      </c>
      <c r="AI244" s="9">
        <v>8.7904310570016957</v>
      </c>
      <c r="AJ244" s="9">
        <v>2.4890393720689108</v>
      </c>
      <c r="AK244" s="9">
        <v>0.70589536803198283</v>
      </c>
      <c r="AL244" s="9">
        <v>1.5921982759364741</v>
      </c>
      <c r="AM244" s="9">
        <v>6.0973193539775865</v>
      </c>
      <c r="AN244" s="9">
        <v>9.1667765540402648</v>
      </c>
      <c r="AO244" s="9">
        <v>9.6821459108925385</v>
      </c>
      <c r="AP244" s="9">
        <v>6.3603583910826771</v>
      </c>
      <c r="AQ244" s="9">
        <v>6.1629287333712668</v>
      </c>
      <c r="AR244" s="9">
        <v>1.2804708691033906</v>
      </c>
      <c r="AS244" s="9">
        <v>6.0474963148771987</v>
      </c>
      <c r="AT244" s="9">
        <v>9.3019257997392302</v>
      </c>
      <c r="AU244" s="9">
        <v>14.067369004861984</v>
      </c>
      <c r="AV244" s="9">
        <v>8.8419192454971132</v>
      </c>
      <c r="AW244" s="9">
        <v>2.4670702830369127</v>
      </c>
      <c r="AX244" s="9">
        <v>0.65599638415135053</v>
      </c>
      <c r="AY244" s="9">
        <v>1.599004689043336</v>
      </c>
      <c r="AZ244" s="9">
        <v>6.1384097163765086</v>
      </c>
      <c r="BA244" s="9">
        <v>9.2516490251456123</v>
      </c>
      <c r="BB244" s="9">
        <v>9.7561007710262846</v>
      </c>
      <c r="BC244" s="9">
        <v>6.3798447853334421</v>
      </c>
      <c r="BD244" s="9">
        <v>6.1794610623061708</v>
      </c>
    </row>
    <row r="245" spans="3:56" x14ac:dyDescent="0.25">
      <c r="C245" s="111">
        <v>34.086199999999998</v>
      </c>
      <c r="F245" s="111">
        <v>7.008</v>
      </c>
      <c r="G245" s="112">
        <v>320</v>
      </c>
      <c r="J245" s="111">
        <v>2281.85</v>
      </c>
      <c r="K245" s="111">
        <v>2262.86</v>
      </c>
      <c r="L245" s="91">
        <v>7.6074611578524225</v>
      </c>
      <c r="M245" s="12">
        <v>1113.9040454374883</v>
      </c>
      <c r="N245" s="11">
        <v>54.380880615319995</v>
      </c>
      <c r="O245" s="11">
        <v>2160.0510541308813</v>
      </c>
      <c r="P245" s="11">
        <v>48.428065253798948</v>
      </c>
      <c r="Q245" s="11">
        <v>1.0912179115663754</v>
      </c>
      <c r="R245" s="11">
        <v>0.69243245266670173</v>
      </c>
      <c r="S245" s="13">
        <v>18.813443155935026</v>
      </c>
      <c r="T245" s="14">
        <v>1028.162856189799</v>
      </c>
      <c r="U245" s="91">
        <v>7.6496960705575123</v>
      </c>
      <c r="V245" s="12">
        <v>1029.9644118814308</v>
      </c>
      <c r="W245" s="11">
        <v>53.982926175106968</v>
      </c>
      <c r="X245" s="11">
        <v>2160.7103782619542</v>
      </c>
      <c r="Y245" s="11">
        <v>48.166695562938791</v>
      </c>
      <c r="Z245" s="11">
        <v>1.1553896870018632</v>
      </c>
      <c r="AA245" s="11">
        <v>0.72840766851814986</v>
      </c>
      <c r="AB245" s="13">
        <v>18.927750054099416</v>
      </c>
      <c r="AC245" s="14">
        <v>1026.950905831322</v>
      </c>
      <c r="AD245" s="15">
        <v>4</v>
      </c>
      <c r="AE245" s="9">
        <v>1.3114015451597205</v>
      </c>
      <c r="AF245" s="9">
        <v>6.0084433778082298</v>
      </c>
      <c r="AG245" s="9">
        <v>9.256828055015923</v>
      </c>
      <c r="AH245" s="9">
        <v>13.963199873675263</v>
      </c>
      <c r="AI245" s="9">
        <v>8.7979631916210455</v>
      </c>
      <c r="AJ245" s="9">
        <v>2.4787033891530084</v>
      </c>
      <c r="AK245" s="9">
        <v>0.68419963704082887</v>
      </c>
      <c r="AL245" s="9">
        <v>1.5899816887178677</v>
      </c>
      <c r="AM245" s="9">
        <v>6.1034136458825721</v>
      </c>
      <c r="AN245" s="9">
        <v>9.186435003632047</v>
      </c>
      <c r="AO245" s="9">
        <v>9.6969246930365323</v>
      </c>
      <c r="AP245" s="9">
        <v>6.3521176977142995</v>
      </c>
      <c r="AQ245" s="9">
        <v>6.1545836257407984</v>
      </c>
      <c r="AR245" s="9">
        <v>1.2805657968520487</v>
      </c>
      <c r="AS245" s="9">
        <v>6.0473559346665269</v>
      </c>
      <c r="AT245" s="9">
        <v>9.301545775569668</v>
      </c>
      <c r="AU245" s="9">
        <v>14.067137305695983</v>
      </c>
      <c r="AV245" s="9">
        <v>8.8417184558285662</v>
      </c>
      <c r="AW245" s="9">
        <v>2.4667740026025773</v>
      </c>
      <c r="AX245" s="9">
        <v>0.65558465330898219</v>
      </c>
      <c r="AY245" s="9">
        <v>1.5989147438183555</v>
      </c>
      <c r="AZ245" s="9">
        <v>6.1382422611827332</v>
      </c>
      <c r="BA245" s="9">
        <v>9.2518971695813832</v>
      </c>
      <c r="BB245" s="9">
        <v>9.7560190775852931</v>
      </c>
      <c r="BC245" s="9">
        <v>6.3792849644313137</v>
      </c>
      <c r="BD245" s="9">
        <v>6.1789309870225066</v>
      </c>
    </row>
    <row r="246" spans="3:56" x14ac:dyDescent="0.25">
      <c r="C246" s="111">
        <v>34.259</v>
      </c>
      <c r="F246" s="111">
        <v>5.98</v>
      </c>
      <c r="G246" s="112">
        <v>516</v>
      </c>
      <c r="J246" s="111">
        <v>2314.81</v>
      </c>
      <c r="K246" s="111">
        <v>2314.25</v>
      </c>
      <c r="L246" s="91">
        <v>7.550155743383077</v>
      </c>
      <c r="M246" s="12">
        <v>1261.7800527412592</v>
      </c>
      <c r="N246" s="11">
        <v>63.796795585911624</v>
      </c>
      <c r="O246" s="11">
        <v>2208.0873638751696</v>
      </c>
      <c r="P246" s="11">
        <v>42.365840538918626</v>
      </c>
      <c r="Q246" s="11">
        <v>0.91747587128470875</v>
      </c>
      <c r="R246" s="11">
        <v>0.58293370294829461</v>
      </c>
      <c r="S246" s="13">
        <v>18.897677919730079</v>
      </c>
      <c r="T246" s="14">
        <v>1029.3380630609511</v>
      </c>
      <c r="U246" s="91">
        <v>7.5857211022897504</v>
      </c>
      <c r="V246" s="12">
        <v>1218.8486453024018</v>
      </c>
      <c r="W246" s="11">
        <v>63.81780150341784</v>
      </c>
      <c r="X246" s="11">
        <v>2207.7842754328649</v>
      </c>
      <c r="Y246" s="11">
        <v>42.647923063717222</v>
      </c>
      <c r="Z246" s="11">
        <v>1.0220530279965385</v>
      </c>
      <c r="AA246" s="11">
        <v>0.64454828502848238</v>
      </c>
      <c r="AB246" s="13">
        <v>18.892187352233137</v>
      </c>
      <c r="AC246" s="14">
        <v>1027.0879014814534</v>
      </c>
      <c r="AD246" s="15">
        <v>4</v>
      </c>
      <c r="AE246" s="9">
        <v>1.2961847921084344</v>
      </c>
      <c r="AF246" s="9">
        <v>6.0109383562788423</v>
      </c>
      <c r="AG246" s="9">
        <v>9.2671561685806108</v>
      </c>
      <c r="AH246" s="9">
        <v>14.002088021008879</v>
      </c>
      <c r="AI246" s="9">
        <v>8.8000925107680725</v>
      </c>
      <c r="AJ246" s="9">
        <v>2.4646746616497479</v>
      </c>
      <c r="AK246" s="9">
        <v>0.65589252048114233</v>
      </c>
      <c r="AL246" s="9">
        <v>1.5847856690852553</v>
      </c>
      <c r="AM246" s="9">
        <v>6.1054461988142048</v>
      </c>
      <c r="AN246" s="9">
        <v>9.2038487916284772</v>
      </c>
      <c r="AO246" s="9">
        <v>9.7073970135815522</v>
      </c>
      <c r="AP246" s="9">
        <v>6.3326860608178217</v>
      </c>
      <c r="AQ246" s="9">
        <v>6.1357105745171285</v>
      </c>
      <c r="AR246" s="9">
        <v>1.2810079401126473</v>
      </c>
      <c r="AS246" s="9">
        <v>6.0467063053118535</v>
      </c>
      <c r="AT246" s="9">
        <v>9.2997798520633168</v>
      </c>
      <c r="AU246" s="9">
        <v>14.066061643936109</v>
      </c>
      <c r="AV246" s="9">
        <v>8.8407864997816077</v>
      </c>
      <c r="AW246" s="9">
        <v>2.4653960322609239</v>
      </c>
      <c r="AX246" s="9">
        <v>0.65365889214407291</v>
      </c>
      <c r="AY246" s="9">
        <v>1.5984988486989693</v>
      </c>
      <c r="AZ246" s="9">
        <v>6.1374700118163474</v>
      </c>
      <c r="BA246" s="9">
        <v>9.2530813276765542</v>
      </c>
      <c r="BB246" s="9">
        <v>9.7556411861719834</v>
      </c>
      <c r="BC246" s="9">
        <v>6.3766827796756074</v>
      </c>
      <c r="BD246" s="9">
        <v>6.1764648076426507</v>
      </c>
    </row>
    <row r="247" spans="3:56" x14ac:dyDescent="0.25">
      <c r="C247" s="111">
        <v>33.0839</v>
      </c>
      <c r="F247" s="111">
        <v>19.742000000000001</v>
      </c>
      <c r="G247" s="112">
        <v>3</v>
      </c>
      <c r="J247" s="111">
        <v>2214.31</v>
      </c>
      <c r="K247" s="111">
        <v>1996.28</v>
      </c>
      <c r="L247" s="91">
        <v>7.9995017154266712</v>
      </c>
      <c r="M247" s="12">
        <v>431.47831436253131</v>
      </c>
      <c r="N247" s="11">
        <v>14.230609141504656</v>
      </c>
      <c r="O247" s="11">
        <v>1823.8060987615106</v>
      </c>
      <c r="P247" s="11">
        <v>158.24329209698482</v>
      </c>
      <c r="Q247" s="11">
        <v>3.8352428277081434</v>
      </c>
      <c r="R247" s="11">
        <v>2.4820843904966203</v>
      </c>
      <c r="S247" s="13">
        <v>11.260079246935128</v>
      </c>
      <c r="T247" s="14">
        <v>1023.3821995034848</v>
      </c>
      <c r="U247" s="91">
        <v>8.2311779490925296</v>
      </c>
      <c r="V247" s="12">
        <v>229.62640170092106</v>
      </c>
      <c r="W247" s="11">
        <v>12.106555796896661</v>
      </c>
      <c r="X247" s="11">
        <v>1832.0509956155931</v>
      </c>
      <c r="Y247" s="11">
        <v>152.12244858751012</v>
      </c>
      <c r="Z247" s="11">
        <v>3.6684589241103391</v>
      </c>
      <c r="AA247" s="11">
        <v>2.3081203611703955</v>
      </c>
      <c r="AB247" s="13">
        <v>11.504645056608521</v>
      </c>
      <c r="AC247" s="14">
        <v>1026.1564533839548</v>
      </c>
      <c r="AD247" s="15">
        <v>4</v>
      </c>
      <c r="AE247" s="9">
        <v>1.4817354829586644</v>
      </c>
      <c r="AF247" s="9">
        <v>5.8917465422480095</v>
      </c>
      <c r="AG247" s="9">
        <v>9.0611550696521572</v>
      </c>
      <c r="AH247" s="9">
        <v>13.433901584012801</v>
      </c>
      <c r="AI247" s="9">
        <v>8.660894219205991</v>
      </c>
      <c r="AJ247" s="9">
        <v>2.5997477483852096</v>
      </c>
      <c r="AK247" s="9">
        <v>0.92979140938611471</v>
      </c>
      <c r="AL247" s="9">
        <v>1.6056037451210283</v>
      </c>
      <c r="AM247" s="9">
        <v>6.0049894137912068</v>
      </c>
      <c r="AN247" s="9">
        <v>8.8953340976811557</v>
      </c>
      <c r="AO247" s="9">
        <v>9.4719196186945833</v>
      </c>
      <c r="AP247" s="9">
        <v>6.3967327760787596</v>
      </c>
      <c r="AQ247" s="9">
        <v>6.2077564530073293</v>
      </c>
      <c r="AR247" s="9">
        <v>1.278001212418614</v>
      </c>
      <c r="AS247" s="9">
        <v>6.0512609988455965</v>
      </c>
      <c r="AT247" s="9">
        <v>9.3119222000224298</v>
      </c>
      <c r="AU247" s="9">
        <v>14.073492444309057</v>
      </c>
      <c r="AV247" s="9">
        <v>8.8472308177447552</v>
      </c>
      <c r="AW247" s="9">
        <v>2.474832949292348</v>
      </c>
      <c r="AX247" s="9">
        <v>0.66650227384046434</v>
      </c>
      <c r="AY247" s="9">
        <v>1.6014272568757102</v>
      </c>
      <c r="AZ247" s="9">
        <v>6.1429753397453046</v>
      </c>
      <c r="BA247" s="9">
        <v>9.2459635062216741</v>
      </c>
      <c r="BB247" s="9">
        <v>9.7582970086264016</v>
      </c>
      <c r="BC247" s="9">
        <v>6.3945555724199963</v>
      </c>
      <c r="BD247" s="9">
        <v>6.1933303639523114</v>
      </c>
    </row>
    <row r="248" spans="3:56" x14ac:dyDescent="0.25">
      <c r="C248" s="111">
        <v>33.0246</v>
      </c>
      <c r="F248" s="111">
        <v>15.109</v>
      </c>
      <c r="G248" s="112">
        <v>30</v>
      </c>
      <c r="J248" s="111">
        <v>2213.25</v>
      </c>
      <c r="K248" s="111">
        <v>2000.18</v>
      </c>
      <c r="L248" s="91">
        <v>8.0600110590415603</v>
      </c>
      <c r="M248" s="12">
        <v>365.32942694211738</v>
      </c>
      <c r="N248" s="11">
        <v>13.791354997293636</v>
      </c>
      <c r="O248" s="11">
        <v>1833.1698678929522</v>
      </c>
      <c r="P248" s="11">
        <v>153.21877710975409</v>
      </c>
      <c r="Q248" s="11">
        <v>3.6814437454299465</v>
      </c>
      <c r="R248" s="11">
        <v>2.3570658281104886</v>
      </c>
      <c r="S248" s="13">
        <v>11.487011917670966</v>
      </c>
      <c r="T248" s="14">
        <v>1024.5599586780268</v>
      </c>
      <c r="U248" s="91">
        <v>8.2214444966917952</v>
      </c>
      <c r="V248" s="12">
        <v>235.72663859900277</v>
      </c>
      <c r="W248" s="11">
        <v>12.432520435895706</v>
      </c>
      <c r="X248" s="11">
        <v>1838.6722230661737</v>
      </c>
      <c r="Y248" s="11">
        <v>149.07525649793035</v>
      </c>
      <c r="Z248" s="11">
        <v>3.5960862488569121</v>
      </c>
      <c r="AA248" s="11">
        <v>2.2622935304298215</v>
      </c>
      <c r="AB248" s="13">
        <v>11.648377838259277</v>
      </c>
      <c r="AC248" s="14">
        <v>1026.1094594101733</v>
      </c>
      <c r="AD248" s="15">
        <v>4</v>
      </c>
      <c r="AE248" s="9">
        <v>1.4230777180334375</v>
      </c>
      <c r="AF248" s="9">
        <v>5.9364152865781179</v>
      </c>
      <c r="AG248" s="9">
        <v>9.1379017773367988</v>
      </c>
      <c r="AH248" s="9">
        <v>13.625175647069847</v>
      </c>
      <c r="AI248" s="9">
        <v>8.7161040631914748</v>
      </c>
      <c r="AJ248" s="9">
        <v>2.5618356398362536</v>
      </c>
      <c r="AK248" s="9">
        <v>0.85148551758995139</v>
      </c>
      <c r="AL248" s="9">
        <v>1.6016029220386281</v>
      </c>
      <c r="AM248" s="9">
        <v>6.0426635263578161</v>
      </c>
      <c r="AN248" s="9">
        <v>9.0002764692901991</v>
      </c>
      <c r="AO248" s="9">
        <v>9.5551291528799016</v>
      </c>
      <c r="AP248" s="9">
        <v>6.3937505292771233</v>
      </c>
      <c r="AQ248" s="9">
        <v>6.2001040723478251</v>
      </c>
      <c r="AR248" s="9">
        <v>1.2778494815427259</v>
      </c>
      <c r="AS248" s="9">
        <v>6.0514993632581016</v>
      </c>
      <c r="AT248" s="9">
        <v>9.3125432466370803</v>
      </c>
      <c r="AU248" s="9">
        <v>14.073874750254159</v>
      </c>
      <c r="AV248" s="9">
        <v>8.8475627156143872</v>
      </c>
      <c r="AW248" s="9">
        <v>2.4753133570231016</v>
      </c>
      <c r="AX248" s="9">
        <v>0.66713532680308207</v>
      </c>
      <c r="AY248" s="9">
        <v>1.6015813605972833</v>
      </c>
      <c r="AZ248" s="9">
        <v>6.1432691820544099</v>
      </c>
      <c r="BA248" s="9">
        <v>9.2456633410748399</v>
      </c>
      <c r="BB248" s="9">
        <v>9.7584364656429461</v>
      </c>
      <c r="BC248" s="9">
        <v>6.3954688865318037</v>
      </c>
      <c r="BD248" s="9">
        <v>6.1941877407282497</v>
      </c>
    </row>
    <row r="249" spans="3:56" x14ac:dyDescent="0.25">
      <c r="C249" s="111">
        <v>33.016599999999997</v>
      </c>
      <c r="F249" s="111">
        <v>12.622</v>
      </c>
      <c r="G249" s="112">
        <v>50</v>
      </c>
      <c r="J249" s="111">
        <v>2213.9299999999998</v>
      </c>
      <c r="K249" s="111">
        <v>2042.72</v>
      </c>
      <c r="L249" s="91">
        <v>8.0031963311802574</v>
      </c>
      <c r="M249" s="12">
        <v>423.24784970508523</v>
      </c>
      <c r="N249" s="11">
        <v>17.257259633093415</v>
      </c>
      <c r="O249" s="11">
        <v>1898.8944869484189</v>
      </c>
      <c r="P249" s="11">
        <v>126.56825341848761</v>
      </c>
      <c r="Q249" s="11">
        <v>3.0258395813863128</v>
      </c>
      <c r="R249" s="11">
        <v>1.9278750669546167</v>
      </c>
      <c r="S249" s="13">
        <v>12.882104873676068</v>
      </c>
      <c r="T249" s="14">
        <v>1025.1554719360095</v>
      </c>
      <c r="U249" s="91">
        <v>8.1253884542468366</v>
      </c>
      <c r="V249" s="12">
        <v>304.37850262997028</v>
      </c>
      <c r="W249" s="11">
        <v>16.054063050120131</v>
      </c>
      <c r="X249" s="11">
        <v>1903.013352380776</v>
      </c>
      <c r="Y249" s="11">
        <v>123.65258456910382</v>
      </c>
      <c r="Z249" s="11">
        <v>2.9829489051786071</v>
      </c>
      <c r="AA249" s="11">
        <v>1.8765367964010811</v>
      </c>
      <c r="AB249" s="13">
        <v>13.05260709846875</v>
      </c>
      <c r="AC249" s="14">
        <v>1026.1031196579011</v>
      </c>
      <c r="AD249" s="15">
        <v>4</v>
      </c>
      <c r="AE249" s="9">
        <v>1.3896229273168885</v>
      </c>
      <c r="AF249" s="9">
        <v>5.9616673306224754</v>
      </c>
      <c r="AG249" s="9">
        <v>9.179372377704567</v>
      </c>
      <c r="AH249" s="9">
        <v>13.730833599395666</v>
      </c>
      <c r="AI249" s="9">
        <v>8.7460549534701251</v>
      </c>
      <c r="AJ249" s="9">
        <v>2.5406836526019294</v>
      </c>
      <c r="AK249" s="9">
        <v>0.8073179529698753</v>
      </c>
      <c r="AL249" s="9">
        <v>1.6000227503236346</v>
      </c>
      <c r="AM249" s="9">
        <v>6.0643053630779162</v>
      </c>
      <c r="AN249" s="9">
        <v>9.0577725001218159</v>
      </c>
      <c r="AO249" s="9">
        <v>9.6014491660509531</v>
      </c>
      <c r="AP249" s="9">
        <v>6.3916706828344152</v>
      </c>
      <c r="AQ249" s="9">
        <v>6.1959036698716927</v>
      </c>
      <c r="AR249" s="9">
        <v>1.2778290119473277</v>
      </c>
      <c r="AS249" s="9">
        <v>6.0515315830233751</v>
      </c>
      <c r="AT249" s="9">
        <v>9.3126270913911533</v>
      </c>
      <c r="AU249" s="9">
        <v>14.073926380943389</v>
      </c>
      <c r="AV249" s="9">
        <v>8.8476075408241037</v>
      </c>
      <c r="AW249" s="9">
        <v>2.4753781988920425</v>
      </c>
      <c r="AX249" s="9">
        <v>0.66722062475472588</v>
      </c>
      <c r="AY249" s="9">
        <v>1.6016021977004984</v>
      </c>
      <c r="AZ249" s="9">
        <v>6.1433089435684538</v>
      </c>
      <c r="BA249" s="9">
        <v>9.2456232889045697</v>
      </c>
      <c r="BB249" s="9">
        <v>9.758455320142831</v>
      </c>
      <c r="BC249" s="9">
        <v>6.3955921863369403</v>
      </c>
      <c r="BD249" s="9">
        <v>6.1943034566974307</v>
      </c>
    </row>
    <row r="250" spans="3:56" x14ac:dyDescent="0.25">
      <c r="C250" s="111">
        <v>33.404699999999998</v>
      </c>
      <c r="F250" s="111">
        <v>9.4920000000000009</v>
      </c>
      <c r="G250" s="112">
        <v>100</v>
      </c>
      <c r="J250" s="111">
        <v>2224.4899999999998</v>
      </c>
      <c r="K250" s="111">
        <v>2127.58</v>
      </c>
      <c r="L250" s="91">
        <v>7.8435371215204341</v>
      </c>
      <c r="M250" s="12">
        <v>630.59860890304492</v>
      </c>
      <c r="N250" s="11">
        <v>28.400574259719704</v>
      </c>
      <c r="O250" s="11">
        <v>2015.8815486074673</v>
      </c>
      <c r="P250" s="11">
        <v>83.297877132812943</v>
      </c>
      <c r="Q250" s="11">
        <v>1.9663484716500217</v>
      </c>
      <c r="R250" s="11">
        <v>1.2475587258978915</v>
      </c>
      <c r="S250" s="13">
        <v>16.111719642096276</v>
      </c>
      <c r="T250" s="14">
        <v>1026.2447898951834</v>
      </c>
      <c r="U250" s="91">
        <v>7.9166019989736807</v>
      </c>
      <c r="V250" s="12">
        <v>521.42264066395785</v>
      </c>
      <c r="W250" s="11">
        <v>27.43897231657688</v>
      </c>
      <c r="X250" s="11">
        <v>2018.2926933142896</v>
      </c>
      <c r="Y250" s="11">
        <v>81.848334369133383</v>
      </c>
      <c r="Z250" s="11">
        <v>1.9704695690305332</v>
      </c>
      <c r="AA250" s="11">
        <v>1.2406195957329069</v>
      </c>
      <c r="AB250" s="13">
        <v>16.317791515269242</v>
      </c>
      <c r="AC250" s="14">
        <v>1026.4106976734006</v>
      </c>
      <c r="AD250" s="15">
        <v>4</v>
      </c>
      <c r="AE250" s="9">
        <v>1.3464258867898846</v>
      </c>
      <c r="AF250" s="9">
        <v>5.9923992333235452</v>
      </c>
      <c r="AG250" s="9">
        <v>9.2273681978446511</v>
      </c>
      <c r="AH250" s="9">
        <v>13.863677629664691</v>
      </c>
      <c r="AI250" s="9">
        <v>8.7810439588590565</v>
      </c>
      <c r="AJ250" s="9">
        <v>2.5098656682740854</v>
      </c>
      <c r="AK250" s="9">
        <v>0.74526852336968663</v>
      </c>
      <c r="AL250" s="9">
        <v>1.5970983111172388</v>
      </c>
      <c r="AM250" s="9">
        <v>6.0902934369570483</v>
      </c>
      <c r="AN250" s="9">
        <v>9.1320634153263605</v>
      </c>
      <c r="AO250" s="9">
        <v>9.659546135621536</v>
      </c>
      <c r="AP250" s="9">
        <v>6.3811008942255683</v>
      </c>
      <c r="AQ250" s="9">
        <v>6.1835014074322228</v>
      </c>
      <c r="AR250" s="9">
        <v>1.2788220431940764</v>
      </c>
      <c r="AS250" s="9">
        <v>6.0499856925350866</v>
      </c>
      <c r="AT250" s="9">
        <v>9.3085763010832796</v>
      </c>
      <c r="AU250" s="9">
        <v>14.071436601732103</v>
      </c>
      <c r="AV250" s="9">
        <v>8.8454465573829975</v>
      </c>
      <c r="AW250" s="9">
        <v>2.4722411131168602</v>
      </c>
      <c r="AX250" s="9">
        <v>0.66305332216562041</v>
      </c>
      <c r="AY250" s="9">
        <v>1.6006042605826669</v>
      </c>
      <c r="AZ250" s="9">
        <v>6.1414127487486079</v>
      </c>
      <c r="BA250" s="9">
        <v>9.2476869175971235</v>
      </c>
      <c r="BB250" s="9">
        <v>9.7575517476313482</v>
      </c>
      <c r="BC250" s="9">
        <v>6.3896342290751198</v>
      </c>
      <c r="BD250" s="9">
        <v>6.1887031334692493</v>
      </c>
    </row>
    <row r="251" spans="3:56" x14ac:dyDescent="0.25">
      <c r="C251" s="111">
        <v>33.881500000000003</v>
      </c>
      <c r="F251" s="111">
        <v>8.6289999999999996</v>
      </c>
      <c r="G251" s="112">
        <v>171</v>
      </c>
      <c r="J251" s="111">
        <v>2252.1</v>
      </c>
      <c r="K251" s="111">
        <v>2179.9899999999998</v>
      </c>
      <c r="L251" s="91">
        <v>7.7697903971848694</v>
      </c>
      <c r="M251" s="12">
        <v>757.2277113536104</v>
      </c>
      <c r="N251" s="11">
        <v>35.010234219376812</v>
      </c>
      <c r="O251" s="11">
        <v>2073.9625006670126</v>
      </c>
      <c r="P251" s="11">
        <v>71.017265113610335</v>
      </c>
      <c r="Q251" s="11">
        <v>1.6493575325680292</v>
      </c>
      <c r="R251" s="11">
        <v>1.0468521340778818</v>
      </c>
      <c r="S251" s="13">
        <v>17.260502107770122</v>
      </c>
      <c r="T251" s="14">
        <v>1027.0790258839927</v>
      </c>
      <c r="U251" s="91">
        <v>7.8315433063265774</v>
      </c>
      <c r="V251" s="12">
        <v>651.36006787794611</v>
      </c>
      <c r="W251" s="11">
        <v>34.180554134295839</v>
      </c>
      <c r="X251" s="11">
        <v>2075.8115824278243</v>
      </c>
      <c r="Y251" s="11">
        <v>69.997863437879701</v>
      </c>
      <c r="Z251" s="11">
        <v>1.6809095352883738</v>
      </c>
      <c r="AA251" s="11">
        <v>1.0593118732059177</v>
      </c>
      <c r="AB251" s="13">
        <v>17.462260659112193</v>
      </c>
      <c r="AC251" s="14">
        <v>1026.7886311455004</v>
      </c>
      <c r="AD251" s="15">
        <v>4</v>
      </c>
      <c r="AE251" s="9">
        <v>1.3350314827203049</v>
      </c>
      <c r="AF251" s="9">
        <v>5.9971845137590698</v>
      </c>
      <c r="AG251" s="9">
        <v>9.2352273532900533</v>
      </c>
      <c r="AH251" s="9">
        <v>13.89655833638297</v>
      </c>
      <c r="AI251" s="9">
        <v>8.7858290952778137</v>
      </c>
      <c r="AJ251" s="9">
        <v>2.4972498684638569</v>
      </c>
      <c r="AK251" s="9">
        <v>0.72211690691331831</v>
      </c>
      <c r="AL251" s="9">
        <v>1.5940537096126544</v>
      </c>
      <c r="AM251" s="9">
        <v>6.0937263843508278</v>
      </c>
      <c r="AN251" s="9">
        <v>9.1522400916482738</v>
      </c>
      <c r="AO251" s="9">
        <v>9.6721281199553566</v>
      </c>
      <c r="AP251" s="9">
        <v>6.3678701540470879</v>
      </c>
      <c r="AQ251" s="9">
        <v>6.1704406885516478</v>
      </c>
      <c r="AR251" s="9">
        <v>1.2800420310798011</v>
      </c>
      <c r="AS251" s="9">
        <v>6.0481344746800323</v>
      </c>
      <c r="AT251" s="9">
        <v>9.3036464530477421</v>
      </c>
      <c r="AU251" s="9">
        <v>14.0684190578177</v>
      </c>
      <c r="AV251" s="9">
        <v>8.842829408783567</v>
      </c>
      <c r="AW251" s="9">
        <v>2.4684106478156758</v>
      </c>
      <c r="AX251" s="9">
        <v>0.65784887330022446</v>
      </c>
      <c r="AY251" s="9">
        <v>1.5994139109384975</v>
      </c>
      <c r="AZ251" s="9">
        <v>6.1391735258184399</v>
      </c>
      <c r="BA251" s="9">
        <v>9.2505550210521825</v>
      </c>
      <c r="BB251" s="9">
        <v>9.7564723062472272</v>
      </c>
      <c r="BC251" s="9">
        <v>6.3823788460437685</v>
      </c>
      <c r="BD251" s="9">
        <v>6.1818583452914329</v>
      </c>
    </row>
    <row r="252" spans="3:56" x14ac:dyDescent="0.25">
      <c r="C252" s="111">
        <v>34.0169</v>
      </c>
      <c r="F252" s="111">
        <v>7.8659999999999997</v>
      </c>
      <c r="G252" s="112">
        <v>230</v>
      </c>
      <c r="J252" s="111">
        <v>2262.7399999999998</v>
      </c>
      <c r="K252" s="111">
        <v>2219.5300000000002</v>
      </c>
      <c r="L252" s="91">
        <v>7.6819924011247913</v>
      </c>
      <c r="M252" s="12">
        <v>934.72102130760629</v>
      </c>
      <c r="N252" s="11">
        <v>44.319329914285419</v>
      </c>
      <c r="O252" s="11">
        <v>2117.3369412979882</v>
      </c>
      <c r="P252" s="11">
        <v>57.873728787726137</v>
      </c>
      <c r="Q252" s="11">
        <v>1.3277760607441282</v>
      </c>
      <c r="R252" s="11">
        <v>0.84256862300265867</v>
      </c>
      <c r="S252" s="13">
        <v>18.312194703591491</v>
      </c>
      <c r="T252" s="14">
        <v>1027.571457744833</v>
      </c>
      <c r="U252" s="91">
        <v>7.7336903800844041</v>
      </c>
      <c r="V252" s="12">
        <v>832.48999613696481</v>
      </c>
      <c r="W252" s="11">
        <v>43.650632837897106</v>
      </c>
      <c r="X252" s="11">
        <v>2118.6660661245501</v>
      </c>
      <c r="Y252" s="11">
        <v>57.213301037552604</v>
      </c>
      <c r="Z252" s="11">
        <v>1.3729060410026235</v>
      </c>
      <c r="AA252" s="11">
        <v>0.86542835383962269</v>
      </c>
      <c r="AB252" s="13">
        <v>18.495178530749897</v>
      </c>
      <c r="AC252" s="14">
        <v>1026.8959673136224</v>
      </c>
      <c r="AD252" s="15">
        <v>4</v>
      </c>
      <c r="AE252" s="9">
        <v>1.3240888243600075</v>
      </c>
      <c r="AF252" s="9">
        <v>6.002795611840825</v>
      </c>
      <c r="AG252" s="9">
        <v>9.2453009111334552</v>
      </c>
      <c r="AH252" s="9">
        <v>13.927939067413146</v>
      </c>
      <c r="AI252" s="9">
        <v>8.7918949131811708</v>
      </c>
      <c r="AJ252" s="9">
        <v>2.4884307190727273</v>
      </c>
      <c r="AK252" s="9">
        <v>0.7043388076119883</v>
      </c>
      <c r="AL252" s="9">
        <v>1.5922939080150562</v>
      </c>
      <c r="AM252" s="9">
        <v>6.0984908318404054</v>
      </c>
      <c r="AN252" s="9">
        <v>9.1690252426894894</v>
      </c>
      <c r="AO252" s="9">
        <v>9.6842377172484415</v>
      </c>
      <c r="AP252" s="9">
        <v>6.360830554697289</v>
      </c>
      <c r="AQ252" s="9">
        <v>6.1633110025650879</v>
      </c>
      <c r="AR252" s="9">
        <v>1.2803884789819135</v>
      </c>
      <c r="AS252" s="9">
        <v>6.0476184137700582</v>
      </c>
      <c r="AT252" s="9">
        <v>9.3022558848076891</v>
      </c>
      <c r="AU252" s="9">
        <v>14.067570319534077</v>
      </c>
      <c r="AV252" s="9">
        <v>8.8420937166484244</v>
      </c>
      <c r="AW252" s="9">
        <v>2.467327556191742</v>
      </c>
      <c r="AX252" s="9">
        <v>0.65635324440676202</v>
      </c>
      <c r="AY252" s="9">
        <v>1.5990829424727637</v>
      </c>
      <c r="AZ252" s="9">
        <v>6.1385555304786319</v>
      </c>
      <c r="BA252" s="9">
        <v>9.2514354067276621</v>
      </c>
      <c r="BB252" s="9">
        <v>9.7561718359671712</v>
      </c>
      <c r="BC252" s="9">
        <v>6.3803309952009712</v>
      </c>
      <c r="BD252" s="9">
        <v>6.1799212990007426</v>
      </c>
    </row>
    <row r="253" spans="3:56" x14ac:dyDescent="0.25">
      <c r="C253" s="111">
        <v>34.130400000000002</v>
      </c>
      <c r="F253" s="111">
        <v>7.0519999999999996</v>
      </c>
      <c r="G253" s="112">
        <v>320</v>
      </c>
      <c r="J253" s="111">
        <v>2286.8000000000002</v>
      </c>
      <c r="K253" s="111">
        <v>2270.75</v>
      </c>
      <c r="L253" s="91">
        <v>7.5964169110221729</v>
      </c>
      <c r="M253" s="12">
        <v>1146.7071725850528</v>
      </c>
      <c r="N253" s="11">
        <v>55.882365436386806</v>
      </c>
      <c r="O253" s="11">
        <v>2167.362662339583</v>
      </c>
      <c r="P253" s="11">
        <v>47.504972224030105</v>
      </c>
      <c r="Q253" s="11">
        <v>1.0701804797590846</v>
      </c>
      <c r="R253" s="11">
        <v>0.67917962215651295</v>
      </c>
      <c r="S253" s="13">
        <v>18.821919988664941</v>
      </c>
      <c r="T253" s="14">
        <v>1028.1912068614697</v>
      </c>
      <c r="U253" s="91">
        <v>7.6392129896826573</v>
      </c>
      <c r="V253" s="12">
        <v>1058.583740733832</v>
      </c>
      <c r="W253" s="11">
        <v>55.468488011012852</v>
      </c>
      <c r="X253" s="11">
        <v>2168.0545761569697</v>
      </c>
      <c r="Y253" s="11">
        <v>47.226935832017134</v>
      </c>
      <c r="Z253" s="11">
        <v>1.1325770626159513</v>
      </c>
      <c r="AA253" s="11">
        <v>0.71408345541226637</v>
      </c>
      <c r="AB253" s="13">
        <v>18.940740811100323</v>
      </c>
      <c r="AC253" s="14">
        <v>1026.9859467129515</v>
      </c>
      <c r="AD253" s="15">
        <v>4</v>
      </c>
      <c r="AE253" s="9">
        <v>1.3121777479844088</v>
      </c>
      <c r="AF253" s="9">
        <v>6.0077601046361568</v>
      </c>
      <c r="AG253" s="9">
        <v>9.2556094299289509</v>
      </c>
      <c r="AH253" s="9">
        <v>13.960913959054402</v>
      </c>
      <c r="AI253" s="9">
        <v>8.7971474306773878</v>
      </c>
      <c r="AJ253" s="9">
        <v>2.4787380145717033</v>
      </c>
      <c r="AK253" s="9">
        <v>0.68458268007296108</v>
      </c>
      <c r="AL253" s="9">
        <v>1.5898615131028291</v>
      </c>
      <c r="AM253" s="9">
        <v>6.1027480189626218</v>
      </c>
      <c r="AN253" s="9">
        <v>9.1856216868090765</v>
      </c>
      <c r="AO253" s="9">
        <v>9.6959208071620697</v>
      </c>
      <c r="AP253" s="9">
        <v>6.3514584970015111</v>
      </c>
      <c r="AQ253" s="9">
        <v>6.1539861189100362</v>
      </c>
      <c r="AR253" s="9">
        <v>1.2806788913666232</v>
      </c>
      <c r="AS253" s="9">
        <v>6.0471891070545736</v>
      </c>
      <c r="AT253" s="9">
        <v>9.3010934314365574</v>
      </c>
      <c r="AU253" s="9">
        <v>14.066861614501848</v>
      </c>
      <c r="AV253" s="9">
        <v>8.8414795632720455</v>
      </c>
      <c r="AW253" s="9">
        <v>2.4664212210971708</v>
      </c>
      <c r="AX253" s="9">
        <v>0.6550933336816297</v>
      </c>
      <c r="AY253" s="9">
        <v>1.5988078872187248</v>
      </c>
      <c r="AZ253" s="9">
        <v>6.1380435239731215</v>
      </c>
      <c r="BA253" s="9">
        <v>9.2521956195959341</v>
      </c>
      <c r="BB253" s="9">
        <v>9.7559220092358405</v>
      </c>
      <c r="BC253" s="9">
        <v>6.3786185335729932</v>
      </c>
      <c r="BD253" s="9">
        <v>6.1782997427211326</v>
      </c>
    </row>
    <row r="254" spans="3:56" x14ac:dyDescent="0.25">
      <c r="C254" s="111">
        <v>34.275300000000001</v>
      </c>
      <c r="F254" s="111">
        <v>5.8289999999999997</v>
      </c>
      <c r="G254" s="112">
        <v>515</v>
      </c>
      <c r="J254" s="111">
        <v>2320.09</v>
      </c>
      <c r="K254" s="111">
        <v>2317.63</v>
      </c>
      <c r="L254" s="91">
        <v>7.5587934230215792</v>
      </c>
      <c r="M254" s="12">
        <v>1237.5267098247439</v>
      </c>
      <c r="N254" s="11">
        <v>62.899985557917134</v>
      </c>
      <c r="O254" s="11">
        <v>2211.6915682130493</v>
      </c>
      <c r="P254" s="11">
        <v>43.03844622903398</v>
      </c>
      <c r="Q254" s="11">
        <v>0.93199122083834385</v>
      </c>
      <c r="R254" s="11">
        <v>0.59205139215212088</v>
      </c>
      <c r="S254" s="13">
        <v>18.934859346266244</v>
      </c>
      <c r="T254" s="14">
        <v>1029.367009155241</v>
      </c>
      <c r="U254" s="91">
        <v>7.5921827086766305</v>
      </c>
      <c r="V254" s="12">
        <v>1202.7025679486792</v>
      </c>
      <c r="W254" s="11">
        <v>62.966360476901265</v>
      </c>
      <c r="X254" s="11">
        <v>2211.291085177631</v>
      </c>
      <c r="Y254" s="11">
        <v>43.37255434546816</v>
      </c>
      <c r="Z254" s="11">
        <v>1.0393267630862857</v>
      </c>
      <c r="AA254" s="11">
        <v>0.65546084256820081</v>
      </c>
      <c r="AB254" s="13">
        <v>18.916442564159048</v>
      </c>
      <c r="AC254" s="14">
        <v>1027.1008245542555</v>
      </c>
      <c r="AD254" s="15">
        <v>4</v>
      </c>
      <c r="AE254" s="9">
        <v>1.2939040354552853</v>
      </c>
      <c r="AF254" s="9">
        <v>6.0127194064994551</v>
      </c>
      <c r="AG254" s="9">
        <v>9.2696614012008389</v>
      </c>
      <c r="AH254" s="9">
        <v>14.008959604827197</v>
      </c>
      <c r="AI254" s="9">
        <v>8.8020411808893328</v>
      </c>
      <c r="AJ254" s="9">
        <v>2.4632218345025247</v>
      </c>
      <c r="AK254" s="9">
        <v>0.6527773797479155</v>
      </c>
      <c r="AL254" s="9">
        <v>1.5848102701980082</v>
      </c>
      <c r="AM254" s="9">
        <v>6.1070216816122835</v>
      </c>
      <c r="AN254" s="9">
        <v>9.2077687699838187</v>
      </c>
      <c r="AO254" s="9">
        <v>9.7105532983416101</v>
      </c>
      <c r="AP254" s="9">
        <v>6.3324558911430007</v>
      </c>
      <c r="AQ254" s="9">
        <v>6.1354034763868635</v>
      </c>
      <c r="AR254" s="9">
        <v>1.2810496469132706</v>
      </c>
      <c r="AS254" s="9">
        <v>6.0466453849535116</v>
      </c>
      <c r="AT254" s="9">
        <v>9.2996136238777058</v>
      </c>
      <c r="AU254" s="9">
        <v>14.065960476239367</v>
      </c>
      <c r="AV254" s="9">
        <v>8.8406988659492729</v>
      </c>
      <c r="AW254" s="9">
        <v>2.4652662203022446</v>
      </c>
      <c r="AX254" s="9">
        <v>0.65347654809193223</v>
      </c>
      <c r="AY254" s="9">
        <v>1.5984598754363406</v>
      </c>
      <c r="AZ254" s="9">
        <v>6.1373978190379184</v>
      </c>
      <c r="BA254" s="9">
        <v>9.2531954315910063</v>
      </c>
      <c r="BB254" s="9">
        <v>9.7556057612681553</v>
      </c>
      <c r="BC254" s="9">
        <v>6.3764377646313939</v>
      </c>
      <c r="BD254" s="9">
        <v>6.1762324058573217</v>
      </c>
    </row>
    <row r="255" spans="3:56" x14ac:dyDescent="0.25">
      <c r="C255" s="111">
        <v>32.991999999999997</v>
      </c>
      <c r="F255" s="111">
        <v>19.661000000000001</v>
      </c>
      <c r="G255" s="112">
        <v>3</v>
      </c>
      <c r="J255" s="111">
        <v>2211.21</v>
      </c>
      <c r="K255" s="111">
        <v>1994.69</v>
      </c>
      <c r="L255" s="91">
        <v>7.9992030683945217</v>
      </c>
      <c r="M255" s="12">
        <v>431.56022200571152</v>
      </c>
      <c r="N255" s="11">
        <v>14.272642027275895</v>
      </c>
      <c r="O255" s="11">
        <v>1823.1706213678524</v>
      </c>
      <c r="P255" s="11">
        <v>157.24673660487161</v>
      </c>
      <c r="Q255" s="11">
        <v>3.8132022031843484</v>
      </c>
      <c r="R255" s="11">
        <v>2.4668110336399693</v>
      </c>
      <c r="S255" s="13">
        <v>11.296669301162316</v>
      </c>
      <c r="T255" s="14">
        <v>1023.3330288062709</v>
      </c>
      <c r="U255" s="91">
        <v>8.2296005766480587</v>
      </c>
      <c r="V255" s="12">
        <v>230.44588804753292</v>
      </c>
      <c r="W255" s="11">
        <v>12.156341593667994</v>
      </c>
      <c r="X255" s="11">
        <v>1831.3557642762692</v>
      </c>
      <c r="Y255" s="11">
        <v>151.1778941300627</v>
      </c>
      <c r="Z255" s="11">
        <v>3.6474259187556144</v>
      </c>
      <c r="AA255" s="11">
        <v>2.294427684137005</v>
      </c>
      <c r="AB255" s="13">
        <v>11.542003466236347</v>
      </c>
      <c r="AC255" s="14">
        <v>1026.0836250320808</v>
      </c>
      <c r="AD255" s="15">
        <v>4</v>
      </c>
      <c r="AE255" s="9">
        <v>1.4805370344665121</v>
      </c>
      <c r="AF255" s="9">
        <v>5.8928801277727327</v>
      </c>
      <c r="AG255" s="9">
        <v>9.0634487412380693</v>
      </c>
      <c r="AH255" s="9">
        <v>13.437891198547197</v>
      </c>
      <c r="AI255" s="9">
        <v>8.6624066153156747</v>
      </c>
      <c r="AJ255" s="9">
        <v>2.5998401700950868</v>
      </c>
      <c r="AK255" s="9">
        <v>0.92918155698782912</v>
      </c>
      <c r="AL255" s="9">
        <v>1.6058356028451721</v>
      </c>
      <c r="AM255" s="9">
        <v>6.006177128267411</v>
      </c>
      <c r="AN255" s="9">
        <v>8.897013191464195</v>
      </c>
      <c r="AO255" s="9">
        <v>9.4735869251221043</v>
      </c>
      <c r="AP255" s="9">
        <v>6.3981814690377243</v>
      </c>
      <c r="AQ255" s="9">
        <v>6.2090275160481259</v>
      </c>
      <c r="AR255" s="9">
        <v>1.2777660679414786</v>
      </c>
      <c r="AS255" s="9">
        <v>6.0516307521648729</v>
      </c>
      <c r="AT255" s="9">
        <v>9.3128850049673346</v>
      </c>
      <c r="AU255" s="9">
        <v>14.074085227119507</v>
      </c>
      <c r="AV255" s="9">
        <v>8.8477454525561718</v>
      </c>
      <c r="AW255" s="9">
        <v>2.47557763445174</v>
      </c>
      <c r="AX255" s="9">
        <v>0.66748275943692947</v>
      </c>
      <c r="AY255" s="9">
        <v>1.6016663424852717</v>
      </c>
      <c r="AZ255" s="9">
        <v>6.1434313892991517</v>
      </c>
      <c r="BA255" s="9">
        <v>9.2455007881917766</v>
      </c>
      <c r="BB255" s="9">
        <v>9.7585133584955255</v>
      </c>
      <c r="BC255" s="9">
        <v>6.3959714633693006</v>
      </c>
      <c r="BD255" s="9">
        <v>6.1946593576117888</v>
      </c>
    </row>
    <row r="256" spans="3:56" x14ac:dyDescent="0.25">
      <c r="C256" s="111">
        <v>33.210299999999997</v>
      </c>
      <c r="F256" s="111">
        <v>16.991</v>
      </c>
      <c r="G256" s="112">
        <v>31</v>
      </c>
      <c r="J256" s="111">
        <v>2222.6799999999998</v>
      </c>
      <c r="K256" s="111">
        <v>1997.84</v>
      </c>
      <c r="L256" s="91">
        <v>8.0518354735125826</v>
      </c>
      <c r="M256" s="12">
        <v>374.52818225122502</v>
      </c>
      <c r="N256" s="11">
        <v>13.353925285039553</v>
      </c>
      <c r="O256" s="11">
        <v>1823.0006697036301</v>
      </c>
      <c r="P256" s="11">
        <v>161.4854050113301</v>
      </c>
      <c r="Q256" s="11">
        <v>3.8809796201417313</v>
      </c>
      <c r="R256" s="11">
        <v>2.4963518032182921</v>
      </c>
      <c r="S256" s="13">
        <v>11.154027592512573</v>
      </c>
      <c r="T256" s="14">
        <v>1024.2810501752126</v>
      </c>
      <c r="U256" s="91">
        <v>8.242730462466298</v>
      </c>
      <c r="V256" s="12">
        <v>223.20505818716472</v>
      </c>
      <c r="W256" s="11">
        <v>11.759243952722519</v>
      </c>
      <c r="X256" s="11">
        <v>1829.5918349606461</v>
      </c>
      <c r="Y256" s="11">
        <v>156.48892108663117</v>
      </c>
      <c r="Z256" s="11">
        <v>3.7712651047390819</v>
      </c>
      <c r="AA256" s="11">
        <v>2.3734465273959025</v>
      </c>
      <c r="AB256" s="13">
        <v>11.334901588470416</v>
      </c>
      <c r="AC256" s="14">
        <v>1026.2566259655305</v>
      </c>
      <c r="AD256" s="15">
        <v>4</v>
      </c>
      <c r="AE256" s="9">
        <v>1.4478755607368217</v>
      </c>
      <c r="AF256" s="9">
        <v>5.9166575873485252</v>
      </c>
      <c r="AG256" s="9">
        <v>9.1044890246385872</v>
      </c>
      <c r="AH256" s="9">
        <v>13.544915039712734</v>
      </c>
      <c r="AI256" s="9">
        <v>8.691943986338277</v>
      </c>
      <c r="AJ256" s="9">
        <v>2.5758542633807009</v>
      </c>
      <c r="AK256" s="9">
        <v>0.88210570925267473</v>
      </c>
      <c r="AL256" s="9">
        <v>1.6022158156730701</v>
      </c>
      <c r="AM256" s="9">
        <v>6.0254658950084385</v>
      </c>
      <c r="AN256" s="9">
        <v>8.9571294386319202</v>
      </c>
      <c r="AO256" s="9">
        <v>9.5197616798269227</v>
      </c>
      <c r="AP256" s="9">
        <v>6.3914172048672873</v>
      </c>
      <c r="AQ256" s="9">
        <v>6.1997816318103505</v>
      </c>
      <c r="AR256" s="9">
        <v>1.2783246320259034</v>
      </c>
      <c r="AS256" s="9">
        <v>6.0507556491833556</v>
      </c>
      <c r="AT256" s="9">
        <v>9.3106010795995466</v>
      </c>
      <c r="AU256" s="9">
        <v>14.072679930048659</v>
      </c>
      <c r="AV256" s="9">
        <v>8.8465255323788679</v>
      </c>
      <c r="AW256" s="9">
        <v>2.4738103076215889</v>
      </c>
      <c r="AX256" s="9">
        <v>0.66514826384187831</v>
      </c>
      <c r="AY256" s="9">
        <v>1.6011008396403255</v>
      </c>
      <c r="AZ256" s="9">
        <v>6.1423542234536024</v>
      </c>
      <c r="BA256" s="9">
        <v>9.2466225444328884</v>
      </c>
      <c r="BB256" s="9">
        <v>9.7580015218575191</v>
      </c>
      <c r="BC256" s="9">
        <v>6.3926125860831444</v>
      </c>
      <c r="BD256" s="9">
        <v>6.1915049751721618</v>
      </c>
    </row>
    <row r="257" spans="3:56" x14ac:dyDescent="0.25">
      <c r="C257" s="111">
        <v>33.158099999999997</v>
      </c>
      <c r="F257" s="111">
        <v>16.37</v>
      </c>
      <c r="G257" s="112">
        <v>40</v>
      </c>
      <c r="J257" s="111">
        <v>2219.39</v>
      </c>
      <c r="K257" s="111">
        <v>1998.47</v>
      </c>
      <c r="L257" s="91">
        <v>8.0541138898265991</v>
      </c>
      <c r="M257" s="12">
        <v>371.47685624868217</v>
      </c>
      <c r="N257" s="11">
        <v>13.493560236441766</v>
      </c>
      <c r="O257" s="11">
        <v>1826.2805472494704</v>
      </c>
      <c r="P257" s="11">
        <v>158.69589251408792</v>
      </c>
      <c r="Q257" s="11">
        <v>3.8073591163711247</v>
      </c>
      <c r="R257" s="11">
        <v>2.4454896345046357</v>
      </c>
      <c r="S257" s="13">
        <v>11.26135780514049</v>
      </c>
      <c r="T257" s="14">
        <v>1024.4250311576977</v>
      </c>
      <c r="U257" s="91">
        <v>8.235627862320559</v>
      </c>
      <c r="V257" s="12">
        <v>227.28406797757867</v>
      </c>
      <c r="W257" s="11">
        <v>11.977823961714055</v>
      </c>
      <c r="X257" s="11">
        <v>1832.4911813371834</v>
      </c>
      <c r="Y257" s="11">
        <v>154.00099470110251</v>
      </c>
      <c r="Z257" s="11">
        <v>3.7123217902551526</v>
      </c>
      <c r="AA257" s="11">
        <v>2.3360907439556202</v>
      </c>
      <c r="AB257" s="13">
        <v>11.435839385540209</v>
      </c>
      <c r="AC257" s="14">
        <v>1026.215256679614</v>
      </c>
      <c r="AD257" s="15">
        <v>4</v>
      </c>
      <c r="AE257" s="9">
        <v>1.4398052094029334</v>
      </c>
      <c r="AF257" s="9">
        <v>5.9226729487258973</v>
      </c>
      <c r="AG257" s="9">
        <v>9.1151156968833611</v>
      </c>
      <c r="AH257" s="9">
        <v>13.570875706279102</v>
      </c>
      <c r="AI257" s="9">
        <v>8.6993679014749183</v>
      </c>
      <c r="AJ257" s="9">
        <v>2.5710059131601133</v>
      </c>
      <c r="AK257" s="9">
        <v>0.87170515339332333</v>
      </c>
      <c r="AL257" s="9">
        <v>1.6017399071737939</v>
      </c>
      <c r="AM257" s="9">
        <v>6.0306598663568378</v>
      </c>
      <c r="AN257" s="9">
        <v>8.9709332209750983</v>
      </c>
      <c r="AO257" s="9">
        <v>9.5308571824315553</v>
      </c>
      <c r="AP257" s="9">
        <v>6.3913504374829824</v>
      </c>
      <c r="AQ257" s="9">
        <v>6.1990924217200929</v>
      </c>
      <c r="AR257" s="9">
        <v>1.2781910679159314</v>
      </c>
      <c r="AS257" s="9">
        <v>6.0509638949585094</v>
      </c>
      <c r="AT257" s="9">
        <v>9.3111462296661411</v>
      </c>
      <c r="AU257" s="9">
        <v>14.073015085259264</v>
      </c>
      <c r="AV257" s="9">
        <v>8.8468164403310805</v>
      </c>
      <c r="AW257" s="9">
        <v>2.4742324081349163</v>
      </c>
      <c r="AX257" s="9">
        <v>0.66570820484271409</v>
      </c>
      <c r="AY257" s="9">
        <v>1.6012353024261285</v>
      </c>
      <c r="AZ257" s="9">
        <v>6.1426098693363116</v>
      </c>
      <c r="BA257" s="9">
        <v>9.2463472122354435</v>
      </c>
      <c r="BB257" s="9">
        <v>9.7581232588321729</v>
      </c>
      <c r="BC257" s="9">
        <v>6.3934143701042174</v>
      </c>
      <c r="BD257" s="9">
        <v>6.1922584642147216</v>
      </c>
    </row>
    <row r="258" spans="3:56" x14ac:dyDescent="0.25">
      <c r="C258" s="111">
        <v>32.951500000000003</v>
      </c>
      <c r="F258" s="111">
        <v>15.289</v>
      </c>
      <c r="G258" s="112">
        <v>49</v>
      </c>
      <c r="J258" s="111">
        <v>2207.94</v>
      </c>
      <c r="K258" s="111">
        <v>1995.67</v>
      </c>
      <c r="L258" s="91">
        <v>8.0565341353574755</v>
      </c>
      <c r="M258" s="12">
        <v>367.32752477555033</v>
      </c>
      <c r="N258" s="11">
        <v>13.797134000959543</v>
      </c>
      <c r="O258" s="11">
        <v>1829.2196133710788</v>
      </c>
      <c r="P258" s="11">
        <v>152.65325262796188</v>
      </c>
      <c r="Q258" s="11">
        <v>3.6583112904585411</v>
      </c>
      <c r="R258" s="11">
        <v>2.343317036624756</v>
      </c>
      <c r="S258" s="13">
        <v>11.49290573183319</v>
      </c>
      <c r="T258" s="14">
        <v>1024.5487909307033</v>
      </c>
      <c r="U258" s="91">
        <v>8.2214166403325759</v>
      </c>
      <c r="V258" s="12">
        <v>235.29963229353478</v>
      </c>
      <c r="W258" s="11">
        <v>12.415345444987199</v>
      </c>
      <c r="X258" s="11">
        <v>1834.7678554605789</v>
      </c>
      <c r="Y258" s="11">
        <v>148.48679909443413</v>
      </c>
      <c r="Z258" s="11">
        <v>3.5832526243024589</v>
      </c>
      <c r="AA258" s="11">
        <v>2.2538585324862921</v>
      </c>
      <c r="AB258" s="13">
        <v>11.657658717522475</v>
      </c>
      <c r="AC258" s="14">
        <v>1026.051530590529</v>
      </c>
      <c r="AD258" s="15">
        <v>4</v>
      </c>
      <c r="AE258" s="9">
        <v>1.4252645900599969</v>
      </c>
      <c r="AF258" s="9">
        <v>5.9340571682875884</v>
      </c>
      <c r="AG258" s="9">
        <v>9.1350939223359724</v>
      </c>
      <c r="AH258" s="9">
        <v>13.617470873586131</v>
      </c>
      <c r="AI258" s="9">
        <v>8.7133635132677298</v>
      </c>
      <c r="AJ258" s="9">
        <v>2.563575097780491</v>
      </c>
      <c r="AK258" s="9">
        <v>0.85461374121763956</v>
      </c>
      <c r="AL258" s="9">
        <v>1.6015004851246379</v>
      </c>
      <c r="AM258" s="9">
        <v>6.040789920592923</v>
      </c>
      <c r="AN258" s="9">
        <v>8.9950704962241783</v>
      </c>
      <c r="AO258" s="9">
        <v>9.5509926112065902</v>
      </c>
      <c r="AP258" s="9">
        <v>6.3935813244408708</v>
      </c>
      <c r="AQ258" s="9">
        <v>6.200131717035922</v>
      </c>
      <c r="AR258" s="9">
        <v>1.2776624406147763</v>
      </c>
      <c r="AS258" s="9">
        <v>6.0517943253877471</v>
      </c>
      <c r="AT258" s="9">
        <v>9.3133099178254568</v>
      </c>
      <c r="AU258" s="9">
        <v>14.074347011414194</v>
      </c>
      <c r="AV258" s="9">
        <v>8.8479727465055866</v>
      </c>
      <c r="AW258" s="9">
        <v>2.4759061275634204</v>
      </c>
      <c r="AX258" s="9">
        <v>0.66791380963012525</v>
      </c>
      <c r="AY258" s="9">
        <v>1.6017721793723287</v>
      </c>
      <c r="AZ258" s="9">
        <v>6.143633566168071</v>
      </c>
      <c r="BA258" s="9">
        <v>9.2453012814799731</v>
      </c>
      <c r="BB258" s="9">
        <v>9.7586091094439684</v>
      </c>
      <c r="BC258" s="9">
        <v>6.3965963116974836</v>
      </c>
      <c r="BD258" s="9">
        <v>6.1952455373715889</v>
      </c>
    </row>
    <row r="259" spans="3:56" x14ac:dyDescent="0.25">
      <c r="C259" s="111">
        <v>33.011800000000001</v>
      </c>
      <c r="F259" s="111">
        <v>11.345000000000001</v>
      </c>
      <c r="G259" s="112">
        <v>95</v>
      </c>
      <c r="J259" s="111">
        <v>2207.17</v>
      </c>
      <c r="K259" s="111">
        <v>2061.02</v>
      </c>
      <c r="L259" s="91">
        <v>7.959556088715285</v>
      </c>
      <c r="M259" s="12">
        <v>469.29900210294187</v>
      </c>
      <c r="N259" s="11">
        <v>19.933051719296706</v>
      </c>
      <c r="O259" s="11">
        <v>1930.0938304200531</v>
      </c>
      <c r="P259" s="11">
        <v>110.9931178606499</v>
      </c>
      <c r="Q259" s="11">
        <v>2.6305460964010718</v>
      </c>
      <c r="R259" s="11">
        <v>1.6728687330426897</v>
      </c>
      <c r="S259" s="13">
        <v>13.857080490113445</v>
      </c>
      <c r="T259" s="14">
        <v>1025.594580317377</v>
      </c>
      <c r="U259" s="91">
        <v>8.0627782428806309</v>
      </c>
      <c r="V259" s="12">
        <v>357.20512070913202</v>
      </c>
      <c r="W259" s="11">
        <v>18.840869691977698</v>
      </c>
      <c r="X259" s="11">
        <v>1933.4291706782415</v>
      </c>
      <c r="Y259" s="11">
        <v>108.74995962978062</v>
      </c>
      <c r="Z259" s="11">
        <v>2.6235090542592556</v>
      </c>
      <c r="AA259" s="11">
        <v>1.6504002591416511</v>
      </c>
      <c r="AB259" s="13">
        <v>14.033718951921944</v>
      </c>
      <c r="AC259" s="14">
        <v>1026.0993158151525</v>
      </c>
      <c r="AD259" s="15">
        <v>4</v>
      </c>
      <c r="AE259" s="9">
        <v>1.3718758371462914</v>
      </c>
      <c r="AF259" s="9">
        <v>5.9735514598158836</v>
      </c>
      <c r="AG259" s="9">
        <v>9.1998384600681256</v>
      </c>
      <c r="AH259" s="9">
        <v>13.78482175921647</v>
      </c>
      <c r="AI259" s="9">
        <v>8.7598774482388144</v>
      </c>
      <c r="AJ259" s="9">
        <v>2.5290500852622588</v>
      </c>
      <c r="AK259" s="9">
        <v>0.78303538694258645</v>
      </c>
      <c r="AL259" s="9">
        <v>1.5985910350756813</v>
      </c>
      <c r="AM259" s="9">
        <v>6.0745499152982898</v>
      </c>
      <c r="AN259" s="9">
        <v>9.086098482778759</v>
      </c>
      <c r="AO259" s="9">
        <v>9.6240068630964704</v>
      </c>
      <c r="AP259" s="9">
        <v>6.3879625786310319</v>
      </c>
      <c r="AQ259" s="9">
        <v>6.1913785260711727</v>
      </c>
      <c r="AR259" s="9">
        <v>1.2778167301900891</v>
      </c>
      <c r="AS259" s="9">
        <v>6.051550922035255</v>
      </c>
      <c r="AT259" s="9">
        <v>9.3126774052119963</v>
      </c>
      <c r="AU259" s="9">
        <v>14.07395736562245</v>
      </c>
      <c r="AV259" s="9">
        <v>8.8476344416345238</v>
      </c>
      <c r="AW259" s="9">
        <v>2.4754171075987177</v>
      </c>
      <c r="AX259" s="9">
        <v>0.66727179152449401</v>
      </c>
      <c r="AY259" s="9">
        <v>1.6016147053767098</v>
      </c>
      <c r="AZ259" s="9">
        <v>6.1433328141921155</v>
      </c>
      <c r="BA259" s="9">
        <v>9.2455993081292096</v>
      </c>
      <c r="BB259" s="9">
        <v>9.7584666374967206</v>
      </c>
      <c r="BC259" s="9">
        <v>6.3956661761834024</v>
      </c>
      <c r="BD259" s="9">
        <v>6.1943728919654628</v>
      </c>
    </row>
    <row r="260" spans="3:56" x14ac:dyDescent="0.25">
      <c r="C260" s="111">
        <v>33.753</v>
      </c>
      <c r="F260" s="112">
        <v>9</v>
      </c>
      <c r="G260" s="112">
        <v>170</v>
      </c>
      <c r="J260" s="111">
        <v>2240.33</v>
      </c>
      <c r="K260" s="111">
        <v>2169.94</v>
      </c>
      <c r="L260" s="91">
        <v>7.760784368728384</v>
      </c>
      <c r="M260" s="12">
        <v>772.10872670970286</v>
      </c>
      <c r="N260" s="11">
        <v>35.280534253705611</v>
      </c>
      <c r="O260" s="11">
        <v>2064.6027428169573</v>
      </c>
      <c r="P260" s="11">
        <v>70.056722929337099</v>
      </c>
      <c r="Q260" s="11">
        <v>1.6287875817105473</v>
      </c>
      <c r="R260" s="11">
        <v>1.0341387996041151</v>
      </c>
      <c r="S260" s="13">
        <v>17.295260420684102</v>
      </c>
      <c r="T260" s="14">
        <v>1026.9147095711644</v>
      </c>
      <c r="U260" s="91">
        <v>7.8279650892123449</v>
      </c>
      <c r="V260" s="12">
        <v>654.10859669844342</v>
      </c>
      <c r="W260" s="11">
        <v>34.3507812449024</v>
      </c>
      <c r="X260" s="11">
        <v>2066.6813819581694</v>
      </c>
      <c r="Y260" s="11">
        <v>68.907836796928166</v>
      </c>
      <c r="Z260" s="11">
        <v>1.6558709034583183</v>
      </c>
      <c r="AA260" s="11">
        <v>1.0432741439010262</v>
      </c>
      <c r="AB260" s="13">
        <v>17.52386798649195</v>
      </c>
      <c r="AC260" s="14">
        <v>1026.6867697454952</v>
      </c>
      <c r="AD260" s="15">
        <v>4</v>
      </c>
      <c r="AE260" s="9">
        <v>1.3401433080299028</v>
      </c>
      <c r="AF260" s="9">
        <v>5.9934830218028479</v>
      </c>
      <c r="AG260" s="9">
        <v>9.2301710503975478</v>
      </c>
      <c r="AH260" s="9">
        <v>13.880825067423942</v>
      </c>
      <c r="AI260" s="9">
        <v>8.7817958081952128</v>
      </c>
      <c r="AJ260" s="9">
        <v>2.5015217290570728</v>
      </c>
      <c r="AK260" s="9">
        <v>0.7304114934076652</v>
      </c>
      <c r="AL260" s="9">
        <v>1.5944077682974653</v>
      </c>
      <c r="AM260" s="9">
        <v>6.0906511855705023</v>
      </c>
      <c r="AN260" s="9">
        <v>9.14252008566387</v>
      </c>
      <c r="AO260" s="9">
        <v>9.664980322692049</v>
      </c>
      <c r="AP260" s="9">
        <v>6.3699841703128826</v>
      </c>
      <c r="AQ260" s="9">
        <v>6.1726985534379981</v>
      </c>
      <c r="AR260" s="9">
        <v>1.2797132382037197</v>
      </c>
      <c r="AS260" s="9">
        <v>6.0486281808683291</v>
      </c>
      <c r="AT260" s="9">
        <v>9.3049699998357891</v>
      </c>
      <c r="AU260" s="9">
        <v>14.069227870756349</v>
      </c>
      <c r="AV260" s="9">
        <v>8.843530675700471</v>
      </c>
      <c r="AW260" s="9">
        <v>2.4694404454196603</v>
      </c>
      <c r="AX260" s="9">
        <v>0.65926095546155816</v>
      </c>
      <c r="AY260" s="9">
        <v>1.5997308877341534</v>
      </c>
      <c r="AZ260" s="9">
        <v>6.1397673096622407</v>
      </c>
      <c r="BA260" s="9">
        <v>9.2497463253588919</v>
      </c>
      <c r="BB260" s="9">
        <v>9.7567599328762817</v>
      </c>
      <c r="BC260" s="9">
        <v>6.3843273975569002</v>
      </c>
      <c r="BD260" s="9">
        <v>6.183699366787649</v>
      </c>
    </row>
    <row r="261" spans="3:56" x14ac:dyDescent="0.25">
      <c r="C261" s="111">
        <v>33.997</v>
      </c>
      <c r="F261" s="111">
        <v>8.27</v>
      </c>
      <c r="G261" s="112">
        <v>230</v>
      </c>
      <c r="J261" s="111">
        <v>2261.86</v>
      </c>
      <c r="K261" s="111">
        <v>2210.64</v>
      </c>
      <c r="L261" s="91">
        <v>7.7031063534037543</v>
      </c>
      <c r="M261" s="12">
        <v>889.03777394902568</v>
      </c>
      <c r="N261" s="11">
        <v>41.580431786586786</v>
      </c>
      <c r="O261" s="11">
        <v>2107.6270641778838</v>
      </c>
      <c r="P261" s="11">
        <v>61.432504035529178</v>
      </c>
      <c r="Q261" s="11">
        <v>1.4098402751809105</v>
      </c>
      <c r="R261" s="11">
        <v>0.8951568694080847</v>
      </c>
      <c r="S261" s="13">
        <v>18.05384205815027</v>
      </c>
      <c r="T261" s="14">
        <v>1027.4938374042597</v>
      </c>
      <c r="U261" s="91">
        <v>7.7610169521343568</v>
      </c>
      <c r="V261" s="12">
        <v>778.27341573153331</v>
      </c>
      <c r="W261" s="11">
        <v>40.812635002305946</v>
      </c>
      <c r="X261" s="11">
        <v>2109.1991827277429</v>
      </c>
      <c r="Y261" s="11">
        <v>60.62818226995082</v>
      </c>
      <c r="Z261" s="11">
        <v>1.4550062401347963</v>
      </c>
      <c r="AA261" s="11">
        <v>0.91714718069853518</v>
      </c>
      <c r="AB261" s="13">
        <v>18.258009352160677</v>
      </c>
      <c r="AC261" s="14">
        <v>1026.8801915759575</v>
      </c>
      <c r="AD261" s="15">
        <v>4</v>
      </c>
      <c r="AE261" s="9">
        <v>1.3300312190228978</v>
      </c>
      <c r="AF261" s="9">
        <v>5.9982015815566028</v>
      </c>
      <c r="AG261" s="9">
        <v>9.2385019022910182</v>
      </c>
      <c r="AH261" s="9">
        <v>13.909847754856868</v>
      </c>
      <c r="AI261" s="9">
        <v>8.7867557667433598</v>
      </c>
      <c r="AJ261" s="9">
        <v>2.4921195739366784</v>
      </c>
      <c r="AK261" s="9">
        <v>0.71223278850472549</v>
      </c>
      <c r="AL261" s="9">
        <v>1.5923024722231618</v>
      </c>
      <c r="AM261" s="9">
        <v>6.0944431983934306</v>
      </c>
      <c r="AN261" s="9">
        <v>9.1589663384078257</v>
      </c>
      <c r="AO261" s="9">
        <v>9.6760562938967443</v>
      </c>
      <c r="AP261" s="9">
        <v>6.3612130183948841</v>
      </c>
      <c r="AQ261" s="9">
        <v>6.1639422541889921</v>
      </c>
      <c r="AR261" s="9">
        <v>1.2803375608633607</v>
      </c>
      <c r="AS261" s="9">
        <v>6.0476939929602613</v>
      </c>
      <c r="AT261" s="9">
        <v>9.3024599989277217</v>
      </c>
      <c r="AU261" s="9">
        <v>14.067694835589378</v>
      </c>
      <c r="AV261" s="9">
        <v>8.8422016353884434</v>
      </c>
      <c r="AW261" s="9">
        <v>2.467486611935346</v>
      </c>
      <c r="AX261" s="9">
        <v>0.65657356104958142</v>
      </c>
      <c r="AY261" s="9">
        <v>1.5991313914175793</v>
      </c>
      <c r="AZ261" s="9">
        <v>6.1386458666849348</v>
      </c>
      <c r="BA261" s="9">
        <v>9.2513042030847448</v>
      </c>
      <c r="BB261" s="9">
        <v>9.756215829981512</v>
      </c>
      <c r="BC261" s="9">
        <v>6.3806316315780753</v>
      </c>
      <c r="BD261" s="9">
        <v>6.1802058110608913</v>
      </c>
    </row>
    <row r="262" spans="3:56" x14ac:dyDescent="0.25">
      <c r="C262" s="111">
        <v>34.059899999999999</v>
      </c>
      <c r="F262" s="111">
        <v>7.1479999999999997</v>
      </c>
      <c r="G262" s="112">
        <v>320</v>
      </c>
      <c r="J262" s="111">
        <v>2276.71</v>
      </c>
      <c r="K262" s="111">
        <v>2252.98</v>
      </c>
      <c r="L262" s="91">
        <v>7.6219212044889124</v>
      </c>
      <c r="M262" s="12">
        <v>1074.0012553974846</v>
      </c>
      <c r="N262" s="11">
        <v>52.186532861925798</v>
      </c>
      <c r="O262" s="11">
        <v>2150.6932402057973</v>
      </c>
      <c r="P262" s="11">
        <v>50.100226932276627</v>
      </c>
      <c r="Q262" s="11">
        <v>1.1291595518062907</v>
      </c>
      <c r="R262" s="11">
        <v>0.71661525502353995</v>
      </c>
      <c r="S262" s="13">
        <v>18.760136463650511</v>
      </c>
      <c r="T262" s="14">
        <v>1028.1219055851141</v>
      </c>
      <c r="U262" s="91">
        <v>7.6662691270505823</v>
      </c>
      <c r="V262" s="12">
        <v>987.21786104870398</v>
      </c>
      <c r="W262" s="11">
        <v>51.750494149433891</v>
      </c>
      <c r="X262" s="11">
        <v>2151.4349115691298</v>
      </c>
      <c r="Y262" s="11">
        <v>49.794594281436133</v>
      </c>
      <c r="Z262" s="11">
        <v>1.1946080174918172</v>
      </c>
      <c r="AA262" s="11">
        <v>0.75309606973295851</v>
      </c>
      <c r="AB262" s="13">
        <v>18.884868457061614</v>
      </c>
      <c r="AC262" s="14">
        <v>1026.9300559840453</v>
      </c>
      <c r="AD262" s="15">
        <v>4</v>
      </c>
      <c r="AE262" s="9">
        <v>1.3134463445962241</v>
      </c>
      <c r="AF262" s="9">
        <v>6.006901178815399</v>
      </c>
      <c r="AG262" s="9">
        <v>9.2546599815386568</v>
      </c>
      <c r="AH262" s="9">
        <v>13.956999452970392</v>
      </c>
      <c r="AI262" s="9">
        <v>8.7962763563712016</v>
      </c>
      <c r="AJ262" s="9">
        <v>2.4801456337183732</v>
      </c>
      <c r="AK262" s="9">
        <v>0.68717856789346943</v>
      </c>
      <c r="AL262" s="9">
        <v>1.5900225739622114</v>
      </c>
      <c r="AM262" s="9">
        <v>6.1020739318359061</v>
      </c>
      <c r="AN262" s="9">
        <v>9.182806267227539</v>
      </c>
      <c r="AO262" s="9">
        <v>9.694103124690562</v>
      </c>
      <c r="AP262" s="9">
        <v>6.3525541696111327</v>
      </c>
      <c r="AQ262" s="9">
        <v>6.1550849059577759</v>
      </c>
      <c r="AR262" s="9">
        <v>1.2804985030571781</v>
      </c>
      <c r="AS262" s="9">
        <v>6.0474554164525163</v>
      </c>
      <c r="AT262" s="9">
        <v>9.3018151405829474</v>
      </c>
      <c r="AU262" s="9">
        <v>14.067301528407953</v>
      </c>
      <c r="AV262" s="9">
        <v>8.8418607690367246</v>
      </c>
      <c r="AW262" s="9">
        <v>2.4669840184991587</v>
      </c>
      <c r="AX262" s="9">
        <v>0.65587658979393859</v>
      </c>
      <c r="AY262" s="9">
        <v>1.5989784816427266</v>
      </c>
      <c r="AZ262" s="9">
        <v>6.1383609088075728</v>
      </c>
      <c r="BA262" s="9">
        <v>9.25172103836384</v>
      </c>
      <c r="BB262" s="9">
        <v>9.7560769691416169</v>
      </c>
      <c r="BC262" s="9">
        <v>6.3796817769631726</v>
      </c>
      <c r="BD262" s="9">
        <v>6.1793067329243776</v>
      </c>
    </row>
    <row r="263" spans="3:56" x14ac:dyDescent="0.25">
      <c r="C263" s="111">
        <v>34.2117</v>
      </c>
      <c r="F263" s="111">
        <v>5.8380000000000001</v>
      </c>
      <c r="G263" s="112">
        <v>515</v>
      </c>
      <c r="J263" s="111">
        <v>2312.5500000000002</v>
      </c>
      <c r="K263" s="111">
        <v>2313.13</v>
      </c>
      <c r="L263" s="91">
        <v>7.548647030026661</v>
      </c>
      <c r="M263" s="12">
        <v>1264.3786506138144</v>
      </c>
      <c r="N263" s="11">
        <v>64.268280854976084</v>
      </c>
      <c r="O263" s="11">
        <v>2206.954622970457</v>
      </c>
      <c r="P263" s="11">
        <v>41.907096174566952</v>
      </c>
      <c r="Q263" s="11">
        <v>0.90781884805959545</v>
      </c>
      <c r="R263" s="11">
        <v>0.5766370779882789</v>
      </c>
      <c r="S263" s="13">
        <v>18.901790765354381</v>
      </c>
      <c r="T263" s="14">
        <v>1029.3157390851306</v>
      </c>
      <c r="U263" s="91">
        <v>7.5821766434283155</v>
      </c>
      <c r="V263" s="12">
        <v>1228.3182813634335</v>
      </c>
      <c r="W263" s="11">
        <v>64.331548013536462</v>
      </c>
      <c r="X263" s="11">
        <v>2206.5674590958502</v>
      </c>
      <c r="Y263" s="11">
        <v>42.23099289061328</v>
      </c>
      <c r="Z263" s="11">
        <v>1.0123209769269199</v>
      </c>
      <c r="AA263" s="11">
        <v>0.6383567452053478</v>
      </c>
      <c r="AB263" s="13">
        <v>18.884272540104682</v>
      </c>
      <c r="AC263" s="14">
        <v>1027.0504012260344</v>
      </c>
      <c r="AD263" s="15">
        <v>4</v>
      </c>
      <c r="AE263" s="9">
        <v>1.2938804711448177</v>
      </c>
      <c r="AF263" s="9">
        <v>6.0128503091708581</v>
      </c>
      <c r="AG263" s="9">
        <v>9.2701528650293312</v>
      </c>
      <c r="AH263" s="9">
        <v>14.008945254501505</v>
      </c>
      <c r="AI263" s="9">
        <v>8.8022659256016293</v>
      </c>
      <c r="AJ263" s="9">
        <v>2.4638084828431746</v>
      </c>
      <c r="AK263" s="9">
        <v>0.65365048592357677</v>
      </c>
      <c r="AL263" s="9">
        <v>1.5849631218270159</v>
      </c>
      <c r="AM263" s="9">
        <v>6.1072120006435897</v>
      </c>
      <c r="AN263" s="9">
        <v>9.2071145147778424</v>
      </c>
      <c r="AO263" s="9">
        <v>9.7105051491708156</v>
      </c>
      <c r="AP263" s="9">
        <v>6.3334188899707868</v>
      </c>
      <c r="AQ263" s="9">
        <v>6.1363222589384021</v>
      </c>
      <c r="AR263" s="9">
        <v>1.280886913629856</v>
      </c>
      <c r="AS263" s="9">
        <v>6.0468834361857038</v>
      </c>
      <c r="AT263" s="9">
        <v>9.3002625604294966</v>
      </c>
      <c r="AU263" s="9">
        <v>14.066355506842779</v>
      </c>
      <c r="AV263" s="9">
        <v>8.8410410686344623</v>
      </c>
      <c r="AW263" s="9">
        <v>2.4657728916497996</v>
      </c>
      <c r="AX263" s="9">
        <v>0.65418734963944236</v>
      </c>
      <c r="AY263" s="9">
        <v>1.5986121938260276</v>
      </c>
      <c r="AZ263" s="9">
        <v>6.1376801394033009</v>
      </c>
      <c r="BA263" s="9">
        <v>9.2527525580811076</v>
      </c>
      <c r="BB263" s="9">
        <v>9.7557441989772968</v>
      </c>
      <c r="BC263" s="9">
        <v>6.3773942074448007</v>
      </c>
      <c r="BD263" s="9">
        <v>6.177139422940737</v>
      </c>
    </row>
    <row r="264" spans="3:56" x14ac:dyDescent="0.25">
      <c r="C264" s="111">
        <v>32.994500000000002</v>
      </c>
      <c r="F264" s="111">
        <v>19.341999999999999</v>
      </c>
      <c r="G264" s="112">
        <v>2</v>
      </c>
      <c r="J264" s="111">
        <v>2210.16</v>
      </c>
      <c r="K264" s="111">
        <v>1992.75</v>
      </c>
      <c r="L264" s="91">
        <v>8.0060631587747171</v>
      </c>
      <c r="M264" s="12">
        <v>423.47923305957778</v>
      </c>
      <c r="N264" s="11">
        <v>14.130942181001107</v>
      </c>
      <c r="O264" s="11">
        <v>1820.9773871907578</v>
      </c>
      <c r="P264" s="11">
        <v>157.64167062824077</v>
      </c>
      <c r="Q264" s="11">
        <v>3.8218149945152056</v>
      </c>
      <c r="R264" s="11">
        <v>2.4703681825527668</v>
      </c>
      <c r="S264" s="13">
        <v>11.27581077954305</v>
      </c>
      <c r="T264" s="14">
        <v>1023.4122925558063</v>
      </c>
      <c r="U264" s="91">
        <v>8.2316230440255325</v>
      </c>
      <c r="V264" s="12">
        <v>229.07461229424044</v>
      </c>
      <c r="W264" s="11">
        <v>12.083826902869392</v>
      </c>
      <c r="X264" s="11">
        <v>1828.9712213951968</v>
      </c>
      <c r="Y264" s="11">
        <v>151.69495170193346</v>
      </c>
      <c r="Z264" s="11">
        <v>3.6598532431332687</v>
      </c>
      <c r="AA264" s="11">
        <v>2.3022577554988954</v>
      </c>
      <c r="AB264" s="13">
        <v>11.512675602268832</v>
      </c>
      <c r="AC264" s="14">
        <v>1026.0856061854997</v>
      </c>
      <c r="AD264" s="15">
        <v>4</v>
      </c>
      <c r="AE264" s="9">
        <v>1.4766609984692036</v>
      </c>
      <c r="AF264" s="9">
        <v>5.8959297254059777</v>
      </c>
      <c r="AG264" s="9">
        <v>9.068696682844644</v>
      </c>
      <c r="AH264" s="9">
        <v>13.45085843155773</v>
      </c>
      <c r="AI264" s="9">
        <v>8.6662586835816189</v>
      </c>
      <c r="AJ264" s="9">
        <v>2.5972659988792146</v>
      </c>
      <c r="AK264" s="9">
        <v>0.92395636336293729</v>
      </c>
      <c r="AL264" s="9">
        <v>1.6055434387873326</v>
      </c>
      <c r="AM264" s="9">
        <v>6.0087069003490363</v>
      </c>
      <c r="AN264" s="9">
        <v>8.904267594104299</v>
      </c>
      <c r="AO264" s="9">
        <v>9.479293451322091</v>
      </c>
      <c r="AP264" s="9">
        <v>6.3980389983791275</v>
      </c>
      <c r="AQ264" s="9">
        <v>6.2085310235083568</v>
      </c>
      <c r="AR264" s="9">
        <v>1.2777724646900406</v>
      </c>
      <c r="AS264" s="9">
        <v>6.0516206675678639</v>
      </c>
      <c r="AT264" s="9">
        <v>9.3128587879715781</v>
      </c>
      <c r="AU264" s="9">
        <v>14.074069078576892</v>
      </c>
      <c r="AV264" s="9">
        <v>8.8477314320221456</v>
      </c>
      <c r="AW264" s="9">
        <v>2.4755573633836754</v>
      </c>
      <c r="AX264" s="9">
        <v>0.6674561305030583</v>
      </c>
      <c r="AY264" s="9">
        <v>1.6016598188338498</v>
      </c>
      <c r="AZ264" s="9">
        <v>6.1434189332845648</v>
      </c>
      <c r="BA264" s="9">
        <v>9.2455131919805531</v>
      </c>
      <c r="BB264" s="9">
        <v>9.7585074561006309</v>
      </c>
      <c r="BC264" s="9">
        <v>6.3959329099815854</v>
      </c>
      <c r="BD264" s="9">
        <v>6.1946231836913972</v>
      </c>
    </row>
    <row r="265" spans="3:56" x14ac:dyDescent="0.25">
      <c r="C265" s="111">
        <v>33.139099999999999</v>
      </c>
      <c r="F265" s="111">
        <v>17.573</v>
      </c>
      <c r="G265" s="112">
        <v>26</v>
      </c>
      <c r="J265" s="111">
        <v>2210.5300000000002</v>
      </c>
      <c r="K265" s="111">
        <v>1991.25</v>
      </c>
      <c r="L265" s="91">
        <v>8.0342038407582912</v>
      </c>
      <c r="M265" s="12">
        <v>391.07657159175744</v>
      </c>
      <c r="N265" s="11">
        <v>13.714803181001265</v>
      </c>
      <c r="O265" s="11">
        <v>1819.6034647199192</v>
      </c>
      <c r="P265" s="11">
        <v>157.93173209907954</v>
      </c>
      <c r="Q265" s="11">
        <v>3.8027346806215161</v>
      </c>
      <c r="R265" s="11">
        <v>2.4488567922333364</v>
      </c>
      <c r="S265" s="13">
        <v>11.255606893653077</v>
      </c>
      <c r="T265" s="14">
        <v>1024.0661809457517</v>
      </c>
      <c r="U265" s="91">
        <v>8.2336417683746905</v>
      </c>
      <c r="V265" s="12">
        <v>227.59679938730048</v>
      </c>
      <c r="W265" s="11">
        <v>11.995647570843841</v>
      </c>
      <c r="X265" s="11">
        <v>1826.5249774316785</v>
      </c>
      <c r="Y265" s="11">
        <v>152.72937499747761</v>
      </c>
      <c r="Z265" s="11">
        <v>3.682033953569555</v>
      </c>
      <c r="AA265" s="11">
        <v>2.3169369210530628</v>
      </c>
      <c r="AB265" s="13">
        <v>11.453950656616676</v>
      </c>
      <c r="AC265" s="14">
        <v>1026.2001990842907</v>
      </c>
      <c r="AD265" s="15">
        <v>4</v>
      </c>
      <c r="AE265" s="9">
        <v>1.4550722197545132</v>
      </c>
      <c r="AF265" s="9">
        <v>5.9114166651493392</v>
      </c>
      <c r="AG265" s="9">
        <v>9.0957111973847233</v>
      </c>
      <c r="AH265" s="9">
        <v>13.521493511932862</v>
      </c>
      <c r="AI265" s="9">
        <v>8.6855418612273425</v>
      </c>
      <c r="AJ265" s="9">
        <v>2.5812867693679347</v>
      </c>
      <c r="AK265" s="9">
        <v>0.89266027021878336</v>
      </c>
      <c r="AL265" s="9">
        <v>1.6030006254259197</v>
      </c>
      <c r="AM265" s="9">
        <v>6.0212315560611565</v>
      </c>
      <c r="AN265" s="9">
        <v>8.9438040374999925</v>
      </c>
      <c r="AO265" s="9">
        <v>9.5095674739860705</v>
      </c>
      <c r="AP265" s="9">
        <v>6.3931678359221609</v>
      </c>
      <c r="AQ265" s="9">
        <v>6.2020351990446718</v>
      </c>
      <c r="AR265" s="9">
        <v>1.278142452626861</v>
      </c>
      <c r="AS265" s="9">
        <v>6.0510398506903673</v>
      </c>
      <c r="AT265" s="9">
        <v>9.3113448093383973</v>
      </c>
      <c r="AU265" s="9">
        <v>14.073137213631121</v>
      </c>
      <c r="AV265" s="9">
        <v>8.8469224510103128</v>
      </c>
      <c r="AW265" s="9">
        <v>2.4743861246329306</v>
      </c>
      <c r="AX265" s="9">
        <v>0.66591174553996524</v>
      </c>
      <c r="AY265" s="9">
        <v>1.6012843632165523</v>
      </c>
      <c r="AZ265" s="9">
        <v>6.1427032204383378</v>
      </c>
      <c r="BA265" s="9">
        <v>9.2462481004330197</v>
      </c>
      <c r="BB265" s="9">
        <v>9.7581676709779899</v>
      </c>
      <c r="BC265" s="9">
        <v>6.3937064234153933</v>
      </c>
      <c r="BD265" s="9">
        <v>6.1925328446385857</v>
      </c>
    </row>
    <row r="266" spans="3:56" x14ac:dyDescent="0.25">
      <c r="C266" s="111">
        <v>33.023400000000002</v>
      </c>
      <c r="F266" s="111">
        <v>15.698</v>
      </c>
      <c r="G266" s="112">
        <v>50</v>
      </c>
      <c r="J266" s="111">
        <v>2210.06</v>
      </c>
      <c r="K266" s="111">
        <v>1994.7</v>
      </c>
      <c r="L266" s="91">
        <v>8.0555191861496116</v>
      </c>
      <c r="M266" s="12">
        <v>368.46379612895242</v>
      </c>
      <c r="N266" s="11">
        <v>13.665064766102093</v>
      </c>
      <c r="O266" s="11">
        <v>1826.2860168693253</v>
      </c>
      <c r="P266" s="11">
        <v>154.74891836457249</v>
      </c>
      <c r="Q266" s="11">
        <v>3.7074928347796461</v>
      </c>
      <c r="R266" s="11">
        <v>2.3773509039245373</v>
      </c>
      <c r="S266" s="13">
        <v>11.40212086667767</v>
      </c>
      <c r="T266" s="14">
        <v>1024.5179945307791</v>
      </c>
      <c r="U266" s="91">
        <v>8.2268490295166981</v>
      </c>
      <c r="V266" s="12">
        <v>231.97625892568274</v>
      </c>
      <c r="W266" s="11">
        <v>12.234807177623912</v>
      </c>
      <c r="X266" s="11">
        <v>1832.0695790099269</v>
      </c>
      <c r="Y266" s="11">
        <v>150.39561381244917</v>
      </c>
      <c r="Z266" s="11">
        <v>3.6279593910377934</v>
      </c>
      <c r="AA266" s="11">
        <v>2.2823389105097318</v>
      </c>
      <c r="AB266" s="13">
        <v>11.570510869933923</v>
      </c>
      <c r="AC266" s="14">
        <v>1026.1085084461881</v>
      </c>
      <c r="AD266" s="15">
        <v>4</v>
      </c>
      <c r="AE266" s="9">
        <v>1.4307831277549203</v>
      </c>
      <c r="AF266" s="9">
        <v>5.9295620866279721</v>
      </c>
      <c r="AG266" s="9">
        <v>9.1274603579089142</v>
      </c>
      <c r="AH266" s="9">
        <v>13.599690733975002</v>
      </c>
      <c r="AI266" s="9">
        <v>8.7078742498077943</v>
      </c>
      <c r="AJ266" s="9">
        <v>2.5663638872409926</v>
      </c>
      <c r="AK266" s="9">
        <v>0.86101695833467984</v>
      </c>
      <c r="AL266" s="9">
        <v>1.601499843634647</v>
      </c>
      <c r="AM266" s="9">
        <v>6.0367999921519422</v>
      </c>
      <c r="AN266" s="9">
        <v>8.9857125871057075</v>
      </c>
      <c r="AO266" s="9">
        <v>9.5431394411823849</v>
      </c>
      <c r="AP266" s="9">
        <v>6.3925128317182276</v>
      </c>
      <c r="AQ266" s="9">
        <v>6.1995258009397904</v>
      </c>
      <c r="AR266" s="9">
        <v>1.2778464111034165</v>
      </c>
      <c r="AS266" s="9">
        <v>6.0515041952729254</v>
      </c>
      <c r="AT266" s="9">
        <v>9.3125558224247058</v>
      </c>
      <c r="AU266" s="9">
        <v>14.073882494025547</v>
      </c>
      <c r="AV266" s="9">
        <v>8.8475694386409671</v>
      </c>
      <c r="AW266" s="9">
        <v>2.475323082827356</v>
      </c>
      <c r="AX266" s="9">
        <v>0.66714812309051252</v>
      </c>
      <c r="AY266" s="9">
        <v>1.6015844854438073</v>
      </c>
      <c r="AZ266" s="9">
        <v>6.1432751444602811</v>
      </c>
      <c r="BA266" s="9">
        <v>9.2456573265398863</v>
      </c>
      <c r="BB266" s="9">
        <v>9.7584392931999364</v>
      </c>
      <c r="BC266" s="9">
        <v>6.3954873801798016</v>
      </c>
      <c r="BD266" s="9">
        <v>6.19420509736889</v>
      </c>
    </row>
    <row r="267" spans="3:56" x14ac:dyDescent="0.25">
      <c r="C267" s="111">
        <v>33.060099999999998</v>
      </c>
      <c r="F267" s="111">
        <v>11.077999999999999</v>
      </c>
      <c r="G267" s="112">
        <v>100</v>
      </c>
      <c r="J267" s="111">
        <v>2208.73</v>
      </c>
      <c r="K267" s="111">
        <v>2065.77</v>
      </c>
      <c r="L267" s="91">
        <v>7.9543908863697377</v>
      </c>
      <c r="M267" s="12">
        <v>475.22795008350141</v>
      </c>
      <c r="N267" s="11">
        <v>20.354652154133881</v>
      </c>
      <c r="O267" s="11">
        <v>1936.3639639630032</v>
      </c>
      <c r="P267" s="11">
        <v>109.05138388286274</v>
      </c>
      <c r="Q267" s="11">
        <v>2.581099353990763</v>
      </c>
      <c r="R267" s="11">
        <v>1.6408976090041352</v>
      </c>
      <c r="S267" s="13">
        <v>13.998259426910948</v>
      </c>
      <c r="T267" s="14">
        <v>1025.7030351246494</v>
      </c>
      <c r="U267" s="91">
        <v>8.0535617216173137</v>
      </c>
      <c r="V267" s="12">
        <v>365.96119685284413</v>
      </c>
      <c r="W267" s="11">
        <v>19.297218924289545</v>
      </c>
      <c r="X267" s="11">
        <v>1939.5450778005215</v>
      </c>
      <c r="Y267" s="11">
        <v>106.92770327518878</v>
      </c>
      <c r="Z267" s="11">
        <v>2.5788998486072443</v>
      </c>
      <c r="AA267" s="11">
        <v>1.6225081113520403</v>
      </c>
      <c r="AB267" s="13">
        <v>14.172305492824979</v>
      </c>
      <c r="AC267" s="14">
        <v>1026.1375922775305</v>
      </c>
      <c r="AD267" s="15">
        <v>4</v>
      </c>
      <c r="AE267" s="9">
        <v>1.3682382903353418</v>
      </c>
      <c r="AF267" s="9">
        <v>5.9760675796232352</v>
      </c>
      <c r="AG267" s="9">
        <v>9.2037466968958839</v>
      </c>
      <c r="AH267" s="9">
        <v>13.795998361508003</v>
      </c>
      <c r="AI267" s="9">
        <v>8.7627288044783143</v>
      </c>
      <c r="AJ267" s="9">
        <v>2.5262865494273448</v>
      </c>
      <c r="AK267" s="9">
        <v>0.7776009072752248</v>
      </c>
      <c r="AL267" s="9">
        <v>1.5982695999679297</v>
      </c>
      <c r="AM267" s="9">
        <v>6.0766380249939562</v>
      </c>
      <c r="AN267" s="9">
        <v>9.0924256436040913</v>
      </c>
      <c r="AO267" s="9">
        <v>9.6288743930929908</v>
      </c>
      <c r="AP267" s="9">
        <v>6.3867512965144408</v>
      </c>
      <c r="AQ267" s="9">
        <v>6.1900280565877059</v>
      </c>
      <c r="AR267" s="9">
        <v>1.277940315372305</v>
      </c>
      <c r="AS267" s="9">
        <v>6.0513565678245751</v>
      </c>
      <c r="AT267" s="9">
        <v>9.3121713606830046</v>
      </c>
      <c r="AU267" s="9">
        <v>14.073645796434997</v>
      </c>
      <c r="AV267" s="9">
        <v>8.8473639465586782</v>
      </c>
      <c r="AW267" s="9">
        <v>2.4750257112753258</v>
      </c>
      <c r="AX267" s="9">
        <v>0.66675651489237953</v>
      </c>
      <c r="AY267" s="9">
        <v>1.6014890319363753</v>
      </c>
      <c r="AZ267" s="9">
        <v>6.1430930848063845</v>
      </c>
      <c r="BA267" s="9">
        <v>9.2458423416070037</v>
      </c>
      <c r="BB267" s="9">
        <v>9.758352915685883</v>
      </c>
      <c r="BC267" s="9">
        <v>6.3949219936833712</v>
      </c>
      <c r="BD267" s="9">
        <v>6.1936743936454768</v>
      </c>
    </row>
    <row r="268" spans="3:56" x14ac:dyDescent="0.25">
      <c r="C268" s="111">
        <v>33.725099999999998</v>
      </c>
      <c r="F268" s="111">
        <v>8.9629999999999992</v>
      </c>
      <c r="G268" s="112">
        <v>170</v>
      </c>
      <c r="J268" s="111">
        <v>2242.0100000000002</v>
      </c>
      <c r="K268" s="111">
        <v>2167.67</v>
      </c>
      <c r="L268" s="91">
        <v>7.7741744426197386</v>
      </c>
      <c r="M268" s="12">
        <v>747.39552757551223</v>
      </c>
      <c r="N268" s="11">
        <v>34.199345930818716</v>
      </c>
      <c r="O268" s="11">
        <v>2061.4832432038011</v>
      </c>
      <c r="P268" s="11">
        <v>71.987410865380212</v>
      </c>
      <c r="Q268" s="11">
        <v>1.673920544993609</v>
      </c>
      <c r="R268" s="11">
        <v>1.0626743593985337</v>
      </c>
      <c r="S268" s="13">
        <v>17.144599687759545</v>
      </c>
      <c r="T268" s="14">
        <v>1026.8988678375345</v>
      </c>
      <c r="U268" s="91">
        <v>7.8409803458571616</v>
      </c>
      <c r="V268" s="12">
        <v>633.88077820013609</v>
      </c>
      <c r="W268" s="11">
        <v>33.293981351048863</v>
      </c>
      <c r="X268" s="11">
        <v>2063.5271894338221</v>
      </c>
      <c r="Y268" s="11">
        <v>70.848829215128887</v>
      </c>
      <c r="Z268" s="11">
        <v>1.7027666316187537</v>
      </c>
      <c r="AA268" s="11">
        <v>1.0727621649862253</v>
      </c>
      <c r="AB268" s="13">
        <v>17.36295856448853</v>
      </c>
      <c r="AC268" s="14">
        <v>1026.6646541638545</v>
      </c>
      <c r="AD268" s="15">
        <v>4</v>
      </c>
      <c r="AE268" s="9">
        <v>1.3395326945289745</v>
      </c>
      <c r="AF268" s="9">
        <v>5.9940124338055893</v>
      </c>
      <c r="AG268" s="9">
        <v>9.23109769780649</v>
      </c>
      <c r="AH268" s="9">
        <v>13.882664951889934</v>
      </c>
      <c r="AI268" s="9">
        <v>8.7824277853346118</v>
      </c>
      <c r="AJ268" s="9">
        <v>2.5014244413738393</v>
      </c>
      <c r="AK268" s="9">
        <v>0.72999472961372591</v>
      </c>
      <c r="AL268" s="9">
        <v>1.5944836857787652</v>
      </c>
      <c r="AM268" s="9">
        <v>6.0911612754138797</v>
      </c>
      <c r="AN268" s="9">
        <v>9.1432780955615041</v>
      </c>
      <c r="AO268" s="9">
        <v>9.665790235260598</v>
      </c>
      <c r="AP268" s="9">
        <v>6.3704069583687319</v>
      </c>
      <c r="AQ268" s="9">
        <v>6.1730723205108413</v>
      </c>
      <c r="AR268" s="9">
        <v>1.2796418504897691</v>
      </c>
      <c r="AS268" s="9">
        <v>6.0487358821944328</v>
      </c>
      <c r="AT268" s="9">
        <v>9.3052578635788663</v>
      </c>
      <c r="AU268" s="9">
        <v>14.069403910609832</v>
      </c>
      <c r="AV268" s="9">
        <v>8.8436833306926079</v>
      </c>
      <c r="AW268" s="9">
        <v>2.4696642813605014</v>
      </c>
      <c r="AX268" s="9">
        <v>0.659566614531097</v>
      </c>
      <c r="AY268" s="9">
        <v>1.5998000814134719</v>
      </c>
      <c r="AZ268" s="9">
        <v>6.1398971733980119</v>
      </c>
      <c r="BA268" s="9">
        <v>9.2495742075485232</v>
      </c>
      <c r="BB268" s="9">
        <v>9.7568227015753131</v>
      </c>
      <c r="BC268" s="9">
        <v>6.3847511254499087</v>
      </c>
      <c r="BD268" s="9">
        <v>6.1840994426192601</v>
      </c>
    </row>
    <row r="269" spans="3:56" x14ac:dyDescent="0.25">
      <c r="C269" s="111">
        <v>33.975700000000003</v>
      </c>
      <c r="F269" s="111">
        <v>8.1620000000000008</v>
      </c>
      <c r="G269" s="112">
        <v>231</v>
      </c>
      <c r="J269" s="111">
        <v>2260.9</v>
      </c>
      <c r="K269" s="111">
        <v>2198.15</v>
      </c>
      <c r="L269" s="91">
        <v>7.7428309855352699</v>
      </c>
      <c r="M269" s="12">
        <v>805.30930233571132</v>
      </c>
      <c r="N269" s="11">
        <v>37.807957219072897</v>
      </c>
      <c r="O269" s="11">
        <v>2093.7838940478564</v>
      </c>
      <c r="P269" s="11">
        <v>66.558148733070695</v>
      </c>
      <c r="Q269" s="11">
        <v>1.5272916482427237</v>
      </c>
      <c r="R269" s="11">
        <v>0.96954479371349089</v>
      </c>
      <c r="S269" s="13">
        <v>17.66929268060245</v>
      </c>
      <c r="T269" s="14">
        <v>1027.4984497608571</v>
      </c>
      <c r="U269" s="91">
        <v>7.7996207946708802</v>
      </c>
      <c r="V269" s="12">
        <v>707.41500210206982</v>
      </c>
      <c r="W269" s="11">
        <v>37.101477508873039</v>
      </c>
      <c r="X269" s="11">
        <v>2095.2555919937804</v>
      </c>
      <c r="Y269" s="11">
        <v>65.792930497346561</v>
      </c>
      <c r="Z269" s="11">
        <v>1.5791350507715616</v>
      </c>
      <c r="AA269" s="11">
        <v>0.99535071485951132</v>
      </c>
      <c r="AB269" s="13">
        <v>17.848701816246813</v>
      </c>
      <c r="AC269" s="14">
        <v>1026.8633061148098</v>
      </c>
      <c r="AD269" s="15">
        <v>4</v>
      </c>
      <c r="AE269" s="9">
        <v>1.328379502898801</v>
      </c>
      <c r="AF269" s="9">
        <v>5.9994823436347806</v>
      </c>
      <c r="AG269" s="9">
        <v>9.2405616064433698</v>
      </c>
      <c r="AH269" s="9">
        <v>13.914815467679302</v>
      </c>
      <c r="AI269" s="9">
        <v>8.7882210424956373</v>
      </c>
      <c r="AJ269" s="9">
        <v>2.4913290008289248</v>
      </c>
      <c r="AK269" s="9">
        <v>0.71036630754415531</v>
      </c>
      <c r="AL269" s="9">
        <v>1.5923428905702646</v>
      </c>
      <c r="AM269" s="9">
        <v>6.0956084192465001</v>
      </c>
      <c r="AN269" s="9">
        <v>9.1614512324872877</v>
      </c>
      <c r="AO269" s="9">
        <v>9.6782468667801034</v>
      </c>
      <c r="AP269" s="9">
        <v>6.3614342482947031</v>
      </c>
      <c r="AQ269" s="9">
        <v>6.1640801500197417</v>
      </c>
      <c r="AR269" s="9">
        <v>1.2802830605656135</v>
      </c>
      <c r="AS269" s="9">
        <v>6.0477749913247312</v>
      </c>
      <c r="AT269" s="9">
        <v>9.3026785722477232</v>
      </c>
      <c r="AU269" s="9">
        <v>14.067828197222745</v>
      </c>
      <c r="AV269" s="9">
        <v>8.8423172255077844</v>
      </c>
      <c r="AW269" s="9">
        <v>2.4676569064558285</v>
      </c>
      <c r="AX269" s="9">
        <v>0.6568091853592759</v>
      </c>
      <c r="AY269" s="9">
        <v>1.5991833228483296</v>
      </c>
      <c r="AZ269" s="9">
        <v>6.1387427457001671</v>
      </c>
      <c r="BA269" s="9">
        <v>9.2511644597755822</v>
      </c>
      <c r="BB269" s="9">
        <v>9.7562629826023972</v>
      </c>
      <c r="BC269" s="9">
        <v>6.3809535477569099</v>
      </c>
      <c r="BD269" s="9">
        <v>6.180510407128561</v>
      </c>
    </row>
    <row r="270" spans="3:56" x14ac:dyDescent="0.25">
      <c r="C270" s="111">
        <v>34.048999999999999</v>
      </c>
      <c r="F270" s="111">
        <v>7.101</v>
      </c>
      <c r="G270" s="112">
        <v>320</v>
      </c>
      <c r="J270" s="111">
        <v>2276.96</v>
      </c>
      <c r="K270" s="111">
        <v>2248.44</v>
      </c>
      <c r="L270" s="91">
        <v>7.6391003519630543</v>
      </c>
      <c r="M270" s="12">
        <v>1029.9459545679431</v>
      </c>
      <c r="N270" s="11">
        <v>50.130729790018421</v>
      </c>
      <c r="O270" s="11">
        <v>2146.4027654196025</v>
      </c>
      <c r="P270" s="11">
        <v>51.906504790378925</v>
      </c>
      <c r="Q270" s="11">
        <v>1.169907280757656</v>
      </c>
      <c r="R270" s="11">
        <v>0.7424114251346613</v>
      </c>
      <c r="S270" s="13">
        <v>18.706893073297238</v>
      </c>
      <c r="T270" s="14">
        <v>1028.1201846282556</v>
      </c>
      <c r="U270" s="91">
        <v>7.682883836592894</v>
      </c>
      <c r="V270" s="12">
        <v>948.28176972226288</v>
      </c>
      <c r="W270" s="11">
        <v>49.712635563965563</v>
      </c>
      <c r="X270" s="11">
        <v>2147.1082032088743</v>
      </c>
      <c r="Y270" s="11">
        <v>51.61916122716022</v>
      </c>
      <c r="Z270" s="11">
        <v>1.2384534321960718</v>
      </c>
      <c r="AA270" s="11">
        <v>0.78072102937190968</v>
      </c>
      <c r="AB270" s="13">
        <v>18.825644105723057</v>
      </c>
      <c r="AC270" s="14">
        <v>1026.9214148515955</v>
      </c>
      <c r="AD270" s="15">
        <v>4</v>
      </c>
      <c r="AE270" s="9">
        <v>1.3127104091099175</v>
      </c>
      <c r="AF270" s="9">
        <v>6.0074931597592123</v>
      </c>
      <c r="AG270" s="9">
        <v>9.255589785238886</v>
      </c>
      <c r="AH270" s="9">
        <v>13.959206719489133</v>
      </c>
      <c r="AI270" s="9">
        <v>8.7969498337144252</v>
      </c>
      <c r="AJ270" s="9">
        <v>2.4798191600275459</v>
      </c>
      <c r="AK270" s="9">
        <v>0.68638691363370885</v>
      </c>
      <c r="AL270" s="9">
        <v>1.590058689817009</v>
      </c>
      <c r="AM270" s="9">
        <v>6.1026153162319465</v>
      </c>
      <c r="AN270" s="9">
        <v>9.1839021505187848</v>
      </c>
      <c r="AO270" s="9">
        <v>9.6950937684630638</v>
      </c>
      <c r="AP270" s="9">
        <v>6.3527072148850259</v>
      </c>
      <c r="AQ270" s="9">
        <v>6.1552004178477997</v>
      </c>
      <c r="AR270" s="9">
        <v>1.2804706132334482</v>
      </c>
      <c r="AS270" s="9">
        <v>6.0474966936930583</v>
      </c>
      <c r="AT270" s="9">
        <v>9.3019268244845215</v>
      </c>
      <c r="AU270" s="9">
        <v>14.067369629750097</v>
      </c>
      <c r="AV270" s="9">
        <v>8.8419197870438957</v>
      </c>
      <c r="AW270" s="9">
        <v>2.4670710818432453</v>
      </c>
      <c r="AX270" s="9">
        <v>0.65599749311845523</v>
      </c>
      <c r="AY270" s="9">
        <v>1.5990049317961614</v>
      </c>
      <c r="AZ270" s="9">
        <v>6.1384101685307551</v>
      </c>
      <c r="BA270" s="9">
        <v>9.2516483592123873</v>
      </c>
      <c r="BB270" s="9">
        <v>9.7561009914928416</v>
      </c>
      <c r="BC270" s="9">
        <v>6.3798462948301857</v>
      </c>
      <c r="BD270" s="9">
        <v>6.1794624913655971</v>
      </c>
    </row>
    <row r="271" spans="3:56" x14ac:dyDescent="0.25">
      <c r="C271" s="111">
        <v>34.222900000000003</v>
      </c>
      <c r="F271" s="111">
        <v>5.7279999999999998</v>
      </c>
      <c r="G271" s="112">
        <v>515</v>
      </c>
      <c r="J271" s="111">
        <v>2314.5700000000002</v>
      </c>
      <c r="K271" s="111">
        <v>2312.77</v>
      </c>
      <c r="L271" s="91">
        <v>7.558254561758293</v>
      </c>
      <c r="M271" s="12">
        <v>1235.6383757487363</v>
      </c>
      <c r="N271" s="11">
        <v>63.048912536493901</v>
      </c>
      <c r="O271" s="11">
        <v>2207.0529840199288</v>
      </c>
      <c r="P271" s="11">
        <v>42.668103443577493</v>
      </c>
      <c r="Q271" s="11">
        <v>0.92414107737286311</v>
      </c>
      <c r="R271" s="11">
        <v>0.58693436127462184</v>
      </c>
      <c r="S271" s="13">
        <v>18.939145110096408</v>
      </c>
      <c r="T271" s="14">
        <v>1029.3394635143645</v>
      </c>
      <c r="U271" s="91">
        <v>7.5902224664183811</v>
      </c>
      <c r="V271" s="12">
        <v>1205.7482330185626</v>
      </c>
      <c r="W271" s="11">
        <v>63.145304679956119</v>
      </c>
      <c r="X271" s="11">
        <v>2206.5922195286034</v>
      </c>
      <c r="Y271" s="11">
        <v>43.032475791440433</v>
      </c>
      <c r="Z271" s="11">
        <v>1.0314707465776256</v>
      </c>
      <c r="AA271" s="11">
        <v>0.6504454439697267</v>
      </c>
      <c r="AB271" s="13">
        <v>18.912122789594513</v>
      </c>
      <c r="AC271" s="14">
        <v>1027.0592807199446</v>
      </c>
      <c r="AD271" s="15">
        <v>4</v>
      </c>
      <c r="AE271" s="9">
        <v>1.2922137876170934</v>
      </c>
      <c r="AF271" s="9">
        <v>6.0141194027927867</v>
      </c>
      <c r="AG271" s="9">
        <v>9.2719639817011394</v>
      </c>
      <c r="AH271" s="9">
        <v>14.013934381581214</v>
      </c>
      <c r="AI271" s="9">
        <v>8.8036518193186044</v>
      </c>
      <c r="AJ271" s="9">
        <v>2.4627413646457406</v>
      </c>
      <c r="AK271" s="9">
        <v>0.65136283385612204</v>
      </c>
      <c r="AL271" s="9">
        <v>1.5849651241505636</v>
      </c>
      <c r="AM271" s="9">
        <v>6.1083353381635872</v>
      </c>
      <c r="AN271" s="9">
        <v>9.209931530857407</v>
      </c>
      <c r="AO271" s="9">
        <v>9.7127703470842182</v>
      </c>
      <c r="AP271" s="9">
        <v>6.3332000456731139</v>
      </c>
      <c r="AQ271" s="9">
        <v>6.1360513063763102</v>
      </c>
      <c r="AR271" s="9">
        <v>1.2809155710634135</v>
      </c>
      <c r="AS271" s="9">
        <v>6.0468414469885126</v>
      </c>
      <c r="AT271" s="9">
        <v>9.3001482158297453</v>
      </c>
      <c r="AU271" s="9">
        <v>14.066285885023936</v>
      </c>
      <c r="AV271" s="9">
        <v>8.840980753943958</v>
      </c>
      <c r="AW271" s="9">
        <v>2.4656836341451869</v>
      </c>
      <c r="AX271" s="9">
        <v>0.65406230872798199</v>
      </c>
      <c r="AY271" s="9">
        <v>1.5985853214814321</v>
      </c>
      <c r="AZ271" s="9">
        <v>6.1376302985343534</v>
      </c>
      <c r="BA271" s="9">
        <v>9.2528300912933368</v>
      </c>
      <c r="BB271" s="9">
        <v>9.7557197779678173</v>
      </c>
      <c r="BC271" s="9">
        <v>6.3772256926538686</v>
      </c>
      <c r="BD271" s="9">
        <v>6.17697965317533</v>
      </c>
    </row>
    <row r="272" spans="3:56" x14ac:dyDescent="0.25">
      <c r="C272" s="111">
        <v>33.017899999999997</v>
      </c>
      <c r="F272" s="111">
        <v>19.683</v>
      </c>
      <c r="G272" s="112">
        <v>3</v>
      </c>
      <c r="J272" s="111">
        <v>2210.38</v>
      </c>
      <c r="K272" s="111">
        <v>1993.66</v>
      </c>
      <c r="L272" s="91">
        <v>7.9990681034169828</v>
      </c>
      <c r="M272" s="12">
        <v>431.44946612070123</v>
      </c>
      <c r="N272" s="11">
        <v>14.258210369633645</v>
      </c>
      <c r="O272" s="11">
        <v>1822.0696671313679</v>
      </c>
      <c r="P272" s="11">
        <v>157.33212249899842</v>
      </c>
      <c r="Q272" s="11">
        <v>3.8146741275253087</v>
      </c>
      <c r="R272" s="11">
        <v>2.4680429939080661</v>
      </c>
      <c r="S272" s="13">
        <v>11.287080460155632</v>
      </c>
      <c r="T272" s="14">
        <v>1023.3471076750286</v>
      </c>
      <c r="U272" s="91">
        <v>8.2298011265021387</v>
      </c>
      <c r="V272" s="12">
        <v>230.18235171812066</v>
      </c>
      <c r="W272" s="11">
        <v>12.140586974777461</v>
      </c>
      <c r="X272" s="11">
        <v>1830.2670648834242</v>
      </c>
      <c r="Y272" s="11">
        <v>151.25234814179834</v>
      </c>
      <c r="Z272" s="11">
        <v>3.6487306404660442</v>
      </c>
      <c r="AA272" s="11">
        <v>2.2953784873679104</v>
      </c>
      <c r="AB272" s="13">
        <v>11.532300664170824</v>
      </c>
      <c r="AC272" s="14">
        <v>1026.104149866424</v>
      </c>
      <c r="AD272" s="15">
        <v>4</v>
      </c>
      <c r="AE272" s="9">
        <v>1.480864917798975</v>
      </c>
      <c r="AF272" s="9">
        <v>5.8925681432688783</v>
      </c>
      <c r="AG272" s="9">
        <v>9.062815680112374</v>
      </c>
      <c r="AH272" s="9">
        <v>13.436800077161056</v>
      </c>
      <c r="AI272" s="9">
        <v>8.6619901114975217</v>
      </c>
      <c r="AJ272" s="9">
        <v>2.5998073908977455</v>
      </c>
      <c r="AK272" s="9">
        <v>0.92934010963672575</v>
      </c>
      <c r="AL272" s="9">
        <v>1.6057693115859997</v>
      </c>
      <c r="AM272" s="9">
        <v>6.0058484577509441</v>
      </c>
      <c r="AN272" s="9">
        <v>8.8965574936745053</v>
      </c>
      <c r="AO272" s="9">
        <v>9.473131438985499</v>
      </c>
      <c r="AP272" s="9">
        <v>6.3977725128897651</v>
      </c>
      <c r="AQ272" s="9">
        <v>6.2086677900110789</v>
      </c>
      <c r="AR272" s="9">
        <v>1.2778323382565804</v>
      </c>
      <c r="AS272" s="9">
        <v>6.0515263462975186</v>
      </c>
      <c r="AT272" s="9">
        <v>9.3126134656307507</v>
      </c>
      <c r="AU272" s="9">
        <v>14.073917990068244</v>
      </c>
      <c r="AV272" s="9">
        <v>8.8476002559217086</v>
      </c>
      <c r="AW272" s="9">
        <v>2.4753676615801199</v>
      </c>
      <c r="AX272" s="9">
        <v>0.66720676553936176</v>
      </c>
      <c r="AY272" s="9">
        <v>1.6015988109037451</v>
      </c>
      <c r="AZ272" s="9">
        <v>6.1433024803782708</v>
      </c>
      <c r="BA272" s="9">
        <v>9.2456297902200024</v>
      </c>
      <c r="BB272" s="9">
        <v>9.758452255626894</v>
      </c>
      <c r="BC272" s="9">
        <v>6.3955721487064281</v>
      </c>
      <c r="BD272" s="9">
        <v>6.1942846520465773</v>
      </c>
    </row>
    <row r="273" spans="3:56" x14ac:dyDescent="0.25">
      <c r="C273" s="111">
        <v>33.154400000000003</v>
      </c>
      <c r="F273" s="111">
        <v>18.768000000000001</v>
      </c>
      <c r="G273" s="112">
        <v>25</v>
      </c>
      <c r="J273" s="111">
        <v>2220.12</v>
      </c>
      <c r="K273" s="111">
        <v>1999.05</v>
      </c>
      <c r="L273" s="91">
        <v>8.0181389199029649</v>
      </c>
      <c r="M273" s="12">
        <v>410.21517305228843</v>
      </c>
      <c r="N273" s="11">
        <v>13.899944335632718</v>
      </c>
      <c r="O273" s="11">
        <v>1825.317449587094</v>
      </c>
      <c r="P273" s="11">
        <v>159.83260607727331</v>
      </c>
      <c r="Q273" s="11">
        <v>3.8538006209003459</v>
      </c>
      <c r="R273" s="11">
        <v>2.4889983950549346</v>
      </c>
      <c r="S273" s="13">
        <v>11.214150854366544</v>
      </c>
      <c r="T273" s="14">
        <v>1023.7803838562098</v>
      </c>
      <c r="U273" s="91">
        <v>8.2358921078590779</v>
      </c>
      <c r="V273" s="12">
        <v>227.20620972054468</v>
      </c>
      <c r="W273" s="11">
        <v>11.973981865523946</v>
      </c>
      <c r="X273" s="11">
        <v>1832.9559337881569</v>
      </c>
      <c r="Y273" s="11">
        <v>154.12008434631923</v>
      </c>
      <c r="Z273" s="11">
        <v>3.7152644066368583</v>
      </c>
      <c r="AA273" s="11">
        <v>2.3379239685983761</v>
      </c>
      <c r="AB273" s="13">
        <v>11.434166751739724</v>
      </c>
      <c r="AC273" s="14">
        <v>1026.2123244030747</v>
      </c>
      <c r="AD273" s="15">
        <v>4</v>
      </c>
      <c r="AE273" s="9">
        <v>1.469998658966418</v>
      </c>
      <c r="AF273" s="9">
        <v>5.8998135753968413</v>
      </c>
      <c r="AG273" s="9">
        <v>9.075811944767139</v>
      </c>
      <c r="AH273" s="9">
        <v>13.472288695098834</v>
      </c>
      <c r="AI273" s="9">
        <v>8.6710812176903787</v>
      </c>
      <c r="AJ273" s="9">
        <v>2.5909053338117616</v>
      </c>
      <c r="AK273" s="9">
        <v>0.91251706359715168</v>
      </c>
      <c r="AL273" s="9">
        <v>1.6039758859774302</v>
      </c>
      <c r="AM273" s="9">
        <v>6.0114653849373303</v>
      </c>
      <c r="AN273" s="9">
        <v>8.9165984518079497</v>
      </c>
      <c r="AO273" s="9">
        <v>9.4880141187669427</v>
      </c>
      <c r="AP273" s="9">
        <v>6.3935646073508838</v>
      </c>
      <c r="AQ273" s="9">
        <v>6.2036999815511278</v>
      </c>
      <c r="AR273" s="9">
        <v>1.2781816007280595</v>
      </c>
      <c r="AS273" s="9">
        <v>6.0509786797485159</v>
      </c>
      <c r="AT273" s="9">
        <v>9.3111848940248976</v>
      </c>
      <c r="AU273" s="9">
        <v>14.073038862414432</v>
      </c>
      <c r="AV273" s="9">
        <v>8.8468370792975222</v>
      </c>
      <c r="AW273" s="9">
        <v>2.4742623391175043</v>
      </c>
      <c r="AX273" s="9">
        <v>0.66574785295668049</v>
      </c>
      <c r="AY273" s="9">
        <v>1.6012448514108406</v>
      </c>
      <c r="AZ273" s="9">
        <v>6.1426280356739902</v>
      </c>
      <c r="BA273" s="9">
        <v>9.246327865240902</v>
      </c>
      <c r="BB273" s="9">
        <v>9.7581319032515186</v>
      </c>
      <c r="BC273" s="9">
        <v>6.3934712345797262</v>
      </c>
      <c r="BD273" s="9">
        <v>6.1923118910717836</v>
      </c>
    </row>
    <row r="274" spans="3:56" x14ac:dyDescent="0.25">
      <c r="C274" s="111">
        <v>33.447200000000002</v>
      </c>
      <c r="F274" s="111">
        <v>17.646999999999998</v>
      </c>
      <c r="G274" s="112">
        <v>50</v>
      </c>
      <c r="J274" s="111">
        <v>2234.6</v>
      </c>
      <c r="K274" s="111">
        <v>2002.99</v>
      </c>
      <c r="L274" s="91">
        <v>8.0500897977341168</v>
      </c>
      <c r="M274" s="12">
        <v>376.76280514075734</v>
      </c>
      <c r="N274" s="11">
        <v>13.162206536110581</v>
      </c>
      <c r="O274" s="11">
        <v>1823.690757984391</v>
      </c>
      <c r="P274" s="11">
        <v>166.13703547949854</v>
      </c>
      <c r="Q274" s="11">
        <v>3.9765896061910686</v>
      </c>
      <c r="R274" s="11">
        <v>2.5636312220610824</v>
      </c>
      <c r="S274" s="13">
        <v>10.995929985405622</v>
      </c>
      <c r="T274" s="14">
        <v>1024.390040610449</v>
      </c>
      <c r="U274" s="91">
        <v>8.2519442613803466</v>
      </c>
      <c r="V274" s="12">
        <v>218.47913586271494</v>
      </c>
      <c r="W274" s="11">
        <v>11.49421142963142</v>
      </c>
      <c r="X274" s="11">
        <v>1830.6482621837865</v>
      </c>
      <c r="Y274" s="11">
        <v>160.84752638658222</v>
      </c>
      <c r="Z274" s="11">
        <v>3.8714790403712285</v>
      </c>
      <c r="AA274" s="11">
        <v>2.437719349434492</v>
      </c>
      <c r="AB274" s="13">
        <v>11.180282247906005</v>
      </c>
      <c r="AC274" s="14">
        <v>1026.4443824748828</v>
      </c>
      <c r="AD274" s="15">
        <v>4</v>
      </c>
      <c r="AE274" s="9">
        <v>1.4567393204293906</v>
      </c>
      <c r="AF274" s="9">
        <v>5.9084673018156568</v>
      </c>
      <c r="AG274" s="9">
        <v>9.090574538223521</v>
      </c>
      <c r="AH274" s="9">
        <v>13.515342609031597</v>
      </c>
      <c r="AI274" s="9">
        <v>8.6816725800924957</v>
      </c>
      <c r="AJ274" s="9">
        <v>2.5789631396507957</v>
      </c>
      <c r="AK274" s="9">
        <v>0.89065461278153357</v>
      </c>
      <c r="AL274" s="9">
        <v>1.6015266889387065</v>
      </c>
      <c r="AM274" s="9">
        <v>6.0179469826666008</v>
      </c>
      <c r="AN274" s="9">
        <v>8.9418457924533961</v>
      </c>
      <c r="AO274" s="9">
        <v>9.5062805772836274</v>
      </c>
      <c r="AP274" s="9">
        <v>6.3865664677507361</v>
      </c>
      <c r="AQ274" s="9">
        <v>6.1959112468571211</v>
      </c>
      <c r="AR274" s="9">
        <v>1.2789307879196286</v>
      </c>
      <c r="AS274" s="9">
        <v>6.0498185351840892</v>
      </c>
      <c r="AT274" s="9">
        <v>9.3081347826150296</v>
      </c>
      <c r="AU274" s="9">
        <v>14.071165794805619</v>
      </c>
      <c r="AV274" s="9">
        <v>8.8452115933813875</v>
      </c>
      <c r="AW274" s="9">
        <v>2.4718986319265372</v>
      </c>
      <c r="AX274" s="9">
        <v>0.66259327415151559</v>
      </c>
      <c r="AY274" s="9">
        <v>1.6004965716345241</v>
      </c>
      <c r="AZ274" s="9">
        <v>6.1412091358576912</v>
      </c>
      <c r="BA274" s="9">
        <v>9.2479277673281928</v>
      </c>
      <c r="BB274" s="9">
        <v>9.7574541682109128</v>
      </c>
      <c r="BC274" s="9">
        <v>6.3889846773914538</v>
      </c>
      <c r="BD274" s="9">
        <v>6.1880914695536937</v>
      </c>
    </row>
    <row r="275" spans="3:56" x14ac:dyDescent="0.25">
      <c r="C275" s="111">
        <v>33.048099999999998</v>
      </c>
      <c r="F275" s="111">
        <v>11.17</v>
      </c>
      <c r="G275" s="112">
        <v>100</v>
      </c>
      <c r="J275" s="111">
        <v>2206.9499999999998</v>
      </c>
      <c r="K275" s="111">
        <v>2056.39</v>
      </c>
      <c r="L275" s="91">
        <v>7.9730152736162632</v>
      </c>
      <c r="M275" s="12">
        <v>452.59505333107097</v>
      </c>
      <c r="N275" s="11">
        <v>19.328791136036038</v>
      </c>
      <c r="O275" s="11">
        <v>1923.6042526554938</v>
      </c>
      <c r="P275" s="11">
        <v>113.45695620846996</v>
      </c>
      <c r="Q275" s="11">
        <v>2.6856894519018679</v>
      </c>
      <c r="R275" s="11">
        <v>1.7076285577180035</v>
      </c>
      <c r="S275" s="13">
        <v>13.681575512244075</v>
      </c>
      <c r="T275" s="14">
        <v>1025.6771074312694</v>
      </c>
      <c r="U275" s="91">
        <v>8.0738758466220943</v>
      </c>
      <c r="V275" s="12">
        <v>346.9590091651479</v>
      </c>
      <c r="W275" s="11">
        <v>18.296522662106415</v>
      </c>
      <c r="X275" s="11">
        <v>1926.8131458567436</v>
      </c>
      <c r="Y275" s="11">
        <v>111.28033148114989</v>
      </c>
      <c r="Z275" s="11">
        <v>2.6840450536149185</v>
      </c>
      <c r="AA275" s="11">
        <v>1.6886159288181906</v>
      </c>
      <c r="AB275" s="13">
        <v>13.844630421436094</v>
      </c>
      <c r="AC275" s="14">
        <v>1026.1280825363101</v>
      </c>
      <c r="AD275" s="15">
        <v>4</v>
      </c>
      <c r="AE275" s="9">
        <v>1.3695051098215332</v>
      </c>
      <c r="AF275" s="9">
        <v>5.9751042382577531</v>
      </c>
      <c r="AG275" s="9">
        <v>9.2022998738924038</v>
      </c>
      <c r="AH275" s="9">
        <v>13.792051603221601</v>
      </c>
      <c r="AI275" s="9">
        <v>8.7616304502843452</v>
      </c>
      <c r="AJ275" s="9">
        <v>2.5271700778608688</v>
      </c>
      <c r="AK275" s="9">
        <v>0.77937813159893243</v>
      </c>
      <c r="AL275" s="9">
        <v>1.5983241184501593</v>
      </c>
      <c r="AM275" s="9">
        <v>6.0758235231509392</v>
      </c>
      <c r="AN275" s="9">
        <v>9.0901817012676567</v>
      </c>
      <c r="AO275" s="9">
        <v>9.6270954937172206</v>
      </c>
      <c r="AP275" s="9">
        <v>6.3869600876311656</v>
      </c>
      <c r="AQ275" s="9">
        <v>6.1902977033268787</v>
      </c>
      <c r="AR275" s="9">
        <v>1.2779096109792076</v>
      </c>
      <c r="AS275" s="9">
        <v>6.0514048038747186</v>
      </c>
      <c r="AT275" s="9">
        <v>9.3122970366283511</v>
      </c>
      <c r="AU275" s="9">
        <v>14.073723160552218</v>
      </c>
      <c r="AV275" s="9">
        <v>8.8474311100267951</v>
      </c>
      <c r="AW275" s="9">
        <v>2.4751229272054269</v>
      </c>
      <c r="AX275" s="9">
        <v>0.66688461925618303</v>
      </c>
      <c r="AY275" s="9">
        <v>1.6015202168038591</v>
      </c>
      <c r="AZ275" s="9">
        <v>6.1431525477619147</v>
      </c>
      <c r="BA275" s="9">
        <v>9.2457816027546791</v>
      </c>
      <c r="BB275" s="9">
        <v>9.7583811365903994</v>
      </c>
      <c r="BC275" s="9">
        <v>6.3951068132574926</v>
      </c>
      <c r="BD275" s="9">
        <v>6.1938478934391723</v>
      </c>
    </row>
    <row r="276" spans="3:56" x14ac:dyDescent="0.25">
      <c r="C276" s="111">
        <v>33.632199999999997</v>
      </c>
      <c r="F276" s="111">
        <v>9.11</v>
      </c>
      <c r="G276" s="112">
        <v>170</v>
      </c>
      <c r="J276" s="111">
        <v>2234.25</v>
      </c>
      <c r="K276" s="111">
        <v>2154.15</v>
      </c>
      <c r="L276" s="91">
        <v>7.7916538373399566</v>
      </c>
      <c r="M276" s="12">
        <v>713.83200970260805</v>
      </c>
      <c r="N276" s="11">
        <v>32.520036286114596</v>
      </c>
      <c r="O276" s="11">
        <v>2046.9439712641142</v>
      </c>
      <c r="P276" s="11">
        <v>74.685992449771348</v>
      </c>
      <c r="Q276" s="11">
        <v>1.7377076863399346</v>
      </c>
      <c r="R276" s="11">
        <v>1.1032300828461643</v>
      </c>
      <c r="S276" s="13">
        <v>16.88503578831024</v>
      </c>
      <c r="T276" s="14">
        <v>1026.8024781764734</v>
      </c>
      <c r="U276" s="91">
        <v>7.8609162004275808</v>
      </c>
      <c r="V276" s="12">
        <v>601.36324918523258</v>
      </c>
      <c r="W276" s="11">
        <v>31.603322023655654</v>
      </c>
      <c r="X276" s="11">
        <v>2049.0527123446877</v>
      </c>
      <c r="Y276" s="11">
        <v>73.493965631656849</v>
      </c>
      <c r="Z276" s="11">
        <v>1.7672125098115816</v>
      </c>
      <c r="AA276" s="11">
        <v>1.1131599039666209</v>
      </c>
      <c r="AB276" s="13">
        <v>17.100083463924694</v>
      </c>
      <c r="AC276" s="14">
        <v>1026.5910164385505</v>
      </c>
      <c r="AD276" s="15">
        <v>4</v>
      </c>
      <c r="AE276" s="9">
        <v>1.3414449972069014</v>
      </c>
      <c r="AF276" s="9">
        <v>5.9926989034893428</v>
      </c>
      <c r="AG276" s="9">
        <v>9.2295206362978455</v>
      </c>
      <c r="AH276" s="9">
        <v>13.876714098561834</v>
      </c>
      <c r="AI276" s="9">
        <v>8.781047587019815</v>
      </c>
      <c r="AJ276" s="9">
        <v>2.5034457065731299</v>
      </c>
      <c r="AK276" s="9">
        <v>0.73366596568590192</v>
      </c>
      <c r="AL276" s="9">
        <v>1.59473410518734</v>
      </c>
      <c r="AM276" s="9">
        <v>6.0901486215445475</v>
      </c>
      <c r="AN276" s="9">
        <v>9.1392185887396948</v>
      </c>
      <c r="AO276" s="9">
        <v>9.6630437414438433</v>
      </c>
      <c r="AP276" s="9">
        <v>6.3718642072636342</v>
      </c>
      <c r="AQ276" s="9">
        <v>6.174553580801974</v>
      </c>
      <c r="AR276" s="9">
        <v>1.279404147313209</v>
      </c>
      <c r="AS276" s="9">
        <v>6.0490958059972648</v>
      </c>
      <c r="AT276" s="9">
        <v>9.3062176493612085</v>
      </c>
      <c r="AU276" s="9">
        <v>14.069991188833763</v>
      </c>
      <c r="AV276" s="9">
        <v>8.844192652835817</v>
      </c>
      <c r="AW276" s="9">
        <v>2.4704102330723763</v>
      </c>
      <c r="AX276" s="9">
        <v>0.66058200490872743</v>
      </c>
      <c r="AY276" s="9">
        <v>1.6000314379224532</v>
      </c>
      <c r="AZ276" s="9">
        <v>6.1403320161451367</v>
      </c>
      <c r="BA276" s="9">
        <v>9.2490100471679035</v>
      </c>
      <c r="BB276" s="9">
        <v>9.7570325291912194</v>
      </c>
      <c r="BC276" s="9">
        <v>6.3861637367871076</v>
      </c>
      <c r="BD276" s="9">
        <v>6.1854325142636144</v>
      </c>
    </row>
    <row r="277" spans="3:56" x14ac:dyDescent="0.25">
      <c r="C277" s="111">
        <v>33.960299999999997</v>
      </c>
      <c r="F277" s="111">
        <v>8.31</v>
      </c>
      <c r="G277" s="112">
        <v>230</v>
      </c>
      <c r="J277" s="111">
        <v>2257.44</v>
      </c>
      <c r="K277" s="111">
        <v>2195.7399999999998</v>
      </c>
      <c r="L277" s="91">
        <v>7.7375611246134932</v>
      </c>
      <c r="M277" s="12">
        <v>815.32144953337661</v>
      </c>
      <c r="N277" s="11">
        <v>38.088953235283341</v>
      </c>
      <c r="O277" s="11">
        <v>2091.6038222381917</v>
      </c>
      <c r="P277" s="11">
        <v>66.047224526524872</v>
      </c>
      <c r="Q277" s="11">
        <v>1.5160936394714606</v>
      </c>
      <c r="R277" s="11">
        <v>0.96261438216222472</v>
      </c>
      <c r="S277" s="13">
        <v>17.692187607478882</v>
      </c>
      <c r="T277" s="14">
        <v>1027.4588692666935</v>
      </c>
      <c r="U277" s="91">
        <v>7.7964695130488</v>
      </c>
      <c r="V277" s="12">
        <v>711.88961813056562</v>
      </c>
      <c r="W277" s="11">
        <v>37.339543390220314</v>
      </c>
      <c r="X277" s="11">
        <v>2093.1719036940904</v>
      </c>
      <c r="Y277" s="11">
        <v>65.228552915689036</v>
      </c>
      <c r="Z277" s="11">
        <v>1.5657186391096727</v>
      </c>
      <c r="AA277" s="11">
        <v>0.9868656188467867</v>
      </c>
      <c r="AB277" s="13">
        <v>17.883436912168236</v>
      </c>
      <c r="AC277" s="14">
        <v>1026.8510979291275</v>
      </c>
      <c r="AD277" s="15">
        <v>4</v>
      </c>
      <c r="AE277" s="9">
        <v>1.3305298304265458</v>
      </c>
      <c r="AF277" s="9">
        <v>5.9978807353140251</v>
      </c>
      <c r="AG277" s="9">
        <v>9.2381859792422194</v>
      </c>
      <c r="AH277" s="9">
        <v>13.90828737872503</v>
      </c>
      <c r="AI277" s="9">
        <v>8.7864384159991431</v>
      </c>
      <c r="AJ277" s="9">
        <v>2.4927619503438918</v>
      </c>
      <c r="AK277" s="9">
        <v>0.71336593519635905</v>
      </c>
      <c r="AL277" s="9">
        <v>1.592395256443397</v>
      </c>
      <c r="AM277" s="9">
        <v>6.0942111263893297</v>
      </c>
      <c r="AN277" s="9">
        <v>9.1577725518887654</v>
      </c>
      <c r="AO277" s="9">
        <v>9.6753267921180832</v>
      </c>
      <c r="AP277" s="9">
        <v>6.361781854003203</v>
      </c>
      <c r="AQ277" s="9">
        <v>6.1645081743346575</v>
      </c>
      <c r="AR277" s="9">
        <v>1.2802436565944719</v>
      </c>
      <c r="AS277" s="9">
        <v>6.047833619244769</v>
      </c>
      <c r="AT277" s="9">
        <v>9.3028366658109611</v>
      </c>
      <c r="AU277" s="9">
        <v>14.067924673520345</v>
      </c>
      <c r="AV277" s="9">
        <v>8.8424008486785013</v>
      </c>
      <c r="AW277" s="9">
        <v>2.467780061730807</v>
      </c>
      <c r="AX277" s="9">
        <v>0.65697941943901239</v>
      </c>
      <c r="AY277" s="9">
        <v>1.5992209172261669</v>
      </c>
      <c r="AZ277" s="9">
        <v>6.138812910538971</v>
      </c>
      <c r="BA277" s="9">
        <v>9.2510638699393049</v>
      </c>
      <c r="BB277" s="9">
        <v>9.7562971151323143</v>
      </c>
      <c r="BC277" s="9">
        <v>6.3811863782234033</v>
      </c>
      <c r="BD277" s="9">
        <v>6.1807306755203264</v>
      </c>
    </row>
    <row r="278" spans="3:56" x14ac:dyDescent="0.25">
      <c r="C278" s="111">
        <v>34.037100000000002</v>
      </c>
      <c r="F278" s="111">
        <v>7.3129999999999997</v>
      </c>
      <c r="G278" s="112">
        <v>320</v>
      </c>
      <c r="J278" s="111">
        <v>2273.5500000000002</v>
      </c>
      <c r="K278" s="111">
        <v>2240.77</v>
      </c>
      <c r="L278" s="91">
        <v>7.650711236433847</v>
      </c>
      <c r="M278" s="12">
        <v>1000.9127636717944</v>
      </c>
      <c r="N278" s="11">
        <v>48.364360294236455</v>
      </c>
      <c r="O278" s="11">
        <v>2138.8423812136239</v>
      </c>
      <c r="P278" s="11">
        <v>53.563258492139774</v>
      </c>
      <c r="Q278" s="11">
        <v>1.2074892712035636</v>
      </c>
      <c r="R278" s="11">
        <v>0.7664748388977396</v>
      </c>
      <c r="S278" s="13">
        <v>18.616288983603493</v>
      </c>
      <c r="T278" s="14">
        <v>1028.0798248619635</v>
      </c>
      <c r="U278" s="91">
        <v>7.6976619357520999</v>
      </c>
      <c r="V278" s="12">
        <v>913.41469769241223</v>
      </c>
      <c r="W278" s="11">
        <v>47.888124746857898</v>
      </c>
      <c r="X278" s="11">
        <v>2139.6758118564849</v>
      </c>
      <c r="Y278" s="11">
        <v>53.206063396657115</v>
      </c>
      <c r="Z278" s="11">
        <v>1.2766084231026518</v>
      </c>
      <c r="AA278" s="11">
        <v>0.80475617930062981</v>
      </c>
      <c r="AB278" s="13">
        <v>18.750395842790031</v>
      </c>
      <c r="AC278" s="14">
        <v>1026.9119809941626</v>
      </c>
      <c r="AD278" s="15">
        <v>4</v>
      </c>
      <c r="AE278" s="9">
        <v>1.3158707796017255</v>
      </c>
      <c r="AF278" s="9">
        <v>6.0050579031853122</v>
      </c>
      <c r="AG278" s="9">
        <v>9.2520230282872848</v>
      </c>
      <c r="AH278" s="9">
        <v>13.949650510168304</v>
      </c>
      <c r="AI278" s="9">
        <v>8.7942469287481089</v>
      </c>
      <c r="AJ278" s="9">
        <v>2.4817784248848112</v>
      </c>
      <c r="AK278" s="9">
        <v>0.69059504515231618</v>
      </c>
      <c r="AL278" s="9">
        <v>1.5900530575125875</v>
      </c>
      <c r="AM278" s="9">
        <v>6.1004632112097532</v>
      </c>
      <c r="AN278" s="9">
        <v>9.1785873436019152</v>
      </c>
      <c r="AO278" s="9">
        <v>9.6907659288318921</v>
      </c>
      <c r="AP278" s="9">
        <v>6.352945659341235</v>
      </c>
      <c r="AQ278" s="9">
        <v>6.1555602815193549</v>
      </c>
      <c r="AR278" s="9">
        <v>1.2804401647102932</v>
      </c>
      <c r="AS278" s="9">
        <v>6.0475417893844154</v>
      </c>
      <c r="AT278" s="9">
        <v>9.3020487853496494</v>
      </c>
      <c r="AU278" s="9">
        <v>14.067444005343283</v>
      </c>
      <c r="AV278" s="9">
        <v>8.8419842439723038</v>
      </c>
      <c r="AW278" s="9">
        <v>2.4671661477404907</v>
      </c>
      <c r="AX278" s="9">
        <v>0.6561294287991335</v>
      </c>
      <c r="AY278" s="9">
        <v>1.5990338314010157</v>
      </c>
      <c r="AZ278" s="9">
        <v>6.1384640053312598</v>
      </c>
      <c r="BA278" s="9">
        <v>9.2515692253186508</v>
      </c>
      <c r="BB278" s="9">
        <v>9.7561272373313557</v>
      </c>
      <c r="BC278" s="9">
        <v>6.3800259459168398</v>
      </c>
      <c r="BD278" s="9">
        <v>6.1796325604149125</v>
      </c>
    </row>
    <row r="279" spans="3:56" x14ac:dyDescent="0.25">
      <c r="C279" s="111">
        <v>34.177399999999999</v>
      </c>
      <c r="F279" s="111">
        <v>5.609</v>
      </c>
      <c r="G279" s="112">
        <v>516</v>
      </c>
      <c r="J279" s="111">
        <v>2308.79</v>
      </c>
      <c r="K279" s="111">
        <v>2311.21</v>
      </c>
      <c r="L279" s="91">
        <v>7.5457299021677882</v>
      </c>
      <c r="M279" s="12">
        <v>1269.3990925225089</v>
      </c>
      <c r="N279" s="11">
        <v>65.063580941923561</v>
      </c>
      <c r="O279" s="11">
        <v>2204.9699011326734</v>
      </c>
      <c r="P279" s="11">
        <v>41.17651792540272</v>
      </c>
      <c r="Q279" s="11">
        <v>0.89177346034767269</v>
      </c>
      <c r="R279" s="11">
        <v>0.56625274697801076</v>
      </c>
      <c r="S279" s="13">
        <v>18.897982301156848</v>
      </c>
      <c r="T279" s="14">
        <v>1029.324191919542</v>
      </c>
      <c r="U279" s="91">
        <v>7.5760917096223022</v>
      </c>
      <c r="V279" s="12">
        <v>1244.5684827626305</v>
      </c>
      <c r="W279" s="11">
        <v>65.195804465096771</v>
      </c>
      <c r="X279" s="11">
        <v>2204.4443949893521</v>
      </c>
      <c r="Y279" s="11">
        <v>41.569800545550699</v>
      </c>
      <c r="Z279" s="11">
        <v>0.99665661408312689</v>
      </c>
      <c r="AA279" s="11">
        <v>0.62844008358991155</v>
      </c>
      <c r="AB279" s="13">
        <v>18.860832157966101</v>
      </c>
      <c r="AC279" s="14">
        <v>1027.0232080041187</v>
      </c>
      <c r="AD279" s="15">
        <v>4</v>
      </c>
      <c r="AE279" s="9">
        <v>1.2902602213862362</v>
      </c>
      <c r="AF279" s="9">
        <v>6.0156651987657916</v>
      </c>
      <c r="AG279" s="9">
        <v>9.2744829497819339</v>
      </c>
      <c r="AH279" s="9">
        <v>14.019662989409193</v>
      </c>
      <c r="AI279" s="9">
        <v>8.8054103943807025</v>
      </c>
      <c r="AJ279" s="9">
        <v>2.462027170885396</v>
      </c>
      <c r="AK279" s="9">
        <v>0.64948417134602943</v>
      </c>
      <c r="AL279" s="9">
        <v>1.5850834569714702</v>
      </c>
      <c r="AM279" s="9">
        <v>6.1097720580618589</v>
      </c>
      <c r="AN279" s="9">
        <v>9.212545488390063</v>
      </c>
      <c r="AO279" s="9">
        <v>9.7152971048785997</v>
      </c>
      <c r="AP279" s="9">
        <v>6.3337478227084025</v>
      </c>
      <c r="AQ279" s="9">
        <v>6.136503601191623</v>
      </c>
      <c r="AR279" s="9">
        <v>1.280799150239587</v>
      </c>
      <c r="AS279" s="9">
        <v>6.047012209536188</v>
      </c>
      <c r="AT279" s="9">
        <v>9.3006129175183698</v>
      </c>
      <c r="AU279" s="9">
        <v>14.066568874606993</v>
      </c>
      <c r="AV279" s="9">
        <v>8.8412259223176939</v>
      </c>
      <c r="AW279" s="9">
        <v>2.4660463289431829</v>
      </c>
      <c r="AX279" s="9">
        <v>0.65456993842467059</v>
      </c>
      <c r="AY279" s="9">
        <v>1.5986946208179511</v>
      </c>
      <c r="AZ279" s="9">
        <v>6.1378331074810122</v>
      </c>
      <c r="BA279" s="9">
        <v>9.2525163298704438</v>
      </c>
      <c r="BB279" s="9">
        <v>9.7558191002821673</v>
      </c>
      <c r="BC279" s="9">
        <v>6.3779105097053179</v>
      </c>
      <c r="BD279" s="9">
        <v>6.177628834220859</v>
      </c>
    </row>
    <row r="280" spans="3:56" x14ac:dyDescent="0.25">
      <c r="C280" s="111">
        <v>33.4116</v>
      </c>
      <c r="F280" s="111">
        <v>17.902999999999999</v>
      </c>
      <c r="G280" s="112">
        <v>2</v>
      </c>
      <c r="J280" s="111">
        <v>2233.63</v>
      </c>
      <c r="K280" s="111">
        <v>1991.02</v>
      </c>
      <c r="L280" s="91">
        <v>8.0703203871447258</v>
      </c>
      <c r="M280" s="12">
        <v>358.26613965239994</v>
      </c>
      <c r="N280" s="11">
        <v>12.426253248947345</v>
      </c>
      <c r="O280" s="11">
        <v>1805.3041933134434</v>
      </c>
      <c r="P280" s="11">
        <v>173.28955343760933</v>
      </c>
      <c r="Q280" s="11">
        <v>4.182392360519871</v>
      </c>
      <c r="R280" s="11">
        <v>2.6962660971457009</v>
      </c>
      <c r="S280" s="13">
        <v>10.720997958350914</v>
      </c>
      <c r="T280" s="14">
        <v>1024.0893486062653</v>
      </c>
      <c r="U280" s="91">
        <v>8.2748693080692206</v>
      </c>
      <c r="V280" s="12">
        <v>205.21181503199671</v>
      </c>
      <c r="W280" s="11">
        <v>10.798480872868584</v>
      </c>
      <c r="X280" s="11">
        <v>1812.4809305259805</v>
      </c>
      <c r="Y280" s="11">
        <v>167.74058860115096</v>
      </c>
      <c r="Z280" s="11">
        <v>4.0381481829903976</v>
      </c>
      <c r="AA280" s="11">
        <v>2.5424787067693053</v>
      </c>
      <c r="AB280" s="13">
        <v>10.895881909098922</v>
      </c>
      <c r="AC280" s="14">
        <v>1026.4161664650426</v>
      </c>
      <c r="AD280" s="15">
        <v>4</v>
      </c>
      <c r="AE280" s="9">
        <v>1.4598655638335152</v>
      </c>
      <c r="AF280" s="9">
        <v>5.908110196578928</v>
      </c>
      <c r="AG280" s="9">
        <v>9.0880983955087142</v>
      </c>
      <c r="AH280" s="9">
        <v>13.506631806347389</v>
      </c>
      <c r="AI280" s="9">
        <v>8.6811423158971799</v>
      </c>
      <c r="AJ280" s="9">
        <v>2.582220416867397</v>
      </c>
      <c r="AK280" s="9">
        <v>0.89672239064013637</v>
      </c>
      <c r="AL280" s="9">
        <v>1.6029165811849957</v>
      </c>
      <c r="AM280" s="9">
        <v>6.0178388809344332</v>
      </c>
      <c r="AN280" s="9">
        <v>8.9379362983571102</v>
      </c>
      <c r="AO280" s="9">
        <v>9.5040872686485098</v>
      </c>
      <c r="AP280" s="9">
        <v>6.3906370351450734</v>
      </c>
      <c r="AQ280" s="9">
        <v>6.1999750134449281</v>
      </c>
      <c r="AR280" s="9">
        <v>1.2788396982201073</v>
      </c>
      <c r="AS280" s="9">
        <v>6.049958525464521</v>
      </c>
      <c r="AT280" s="9">
        <v>9.3085045914153053</v>
      </c>
      <c r="AU280" s="9">
        <v>14.071392610833511</v>
      </c>
      <c r="AV280" s="9">
        <v>8.8454083878075149</v>
      </c>
      <c r="AW280" s="9">
        <v>2.4721854962233278</v>
      </c>
      <c r="AX280" s="9">
        <v>0.66297868240352154</v>
      </c>
      <c r="AY280" s="9">
        <v>1.6005867557094762</v>
      </c>
      <c r="AZ280" s="9">
        <v>6.1413796377527836</v>
      </c>
      <c r="BA280" s="9">
        <v>9.2477258218980527</v>
      </c>
      <c r="BB280" s="9">
        <v>9.7575358870632414</v>
      </c>
      <c r="BC280" s="9">
        <v>6.3895287341274711</v>
      </c>
      <c r="BD280" s="9">
        <v>6.1886038068520115</v>
      </c>
    </row>
    <row r="281" spans="3:56" x14ac:dyDescent="0.25">
      <c r="C281" s="111">
        <v>33.427100000000003</v>
      </c>
      <c r="F281" s="111">
        <v>15.116</v>
      </c>
      <c r="G281" s="112">
        <v>30</v>
      </c>
      <c r="J281" s="111">
        <v>2234.5100000000002</v>
      </c>
      <c r="K281" s="111">
        <v>2010.98</v>
      </c>
      <c r="L281" s="91">
        <v>8.0736351368323813</v>
      </c>
      <c r="M281" s="12">
        <v>354.40185865833553</v>
      </c>
      <c r="N281" s="11">
        <v>13.345938501640905</v>
      </c>
      <c r="O281" s="11">
        <v>1837.5694073694215</v>
      </c>
      <c r="P281" s="11">
        <v>160.06465412893752</v>
      </c>
      <c r="Q281" s="11">
        <v>3.8359204376564642</v>
      </c>
      <c r="R281" s="11">
        <v>2.4580811546073678</v>
      </c>
      <c r="S281" s="13">
        <v>11.249763771272216</v>
      </c>
      <c r="T281" s="14">
        <v>1024.8683955762901</v>
      </c>
      <c r="U281" s="91">
        <v>8.2354472913281249</v>
      </c>
      <c r="V281" s="12">
        <v>228.4989954053022</v>
      </c>
      <c r="W281" s="11">
        <v>12.022781018037747</v>
      </c>
      <c r="X281" s="11">
        <v>1843.1245756874384</v>
      </c>
      <c r="Y281" s="11">
        <v>155.83264329452365</v>
      </c>
      <c r="Z281" s="11">
        <v>3.7511724179058406</v>
      </c>
      <c r="AA281" s="11">
        <v>2.3618696814489644</v>
      </c>
      <c r="AB281" s="13">
        <v>11.400513171258497</v>
      </c>
      <c r="AC281" s="14">
        <v>1026.4284514811652</v>
      </c>
      <c r="AD281" s="15">
        <v>4</v>
      </c>
      <c r="AE281" s="9">
        <v>1.4241468715942207</v>
      </c>
      <c r="AF281" s="9">
        <v>5.9347405041844095</v>
      </c>
      <c r="AG281" s="9">
        <v>9.1335834482323044</v>
      </c>
      <c r="AH281" s="9">
        <v>13.621957488028627</v>
      </c>
      <c r="AI281" s="9">
        <v>8.7136985352506073</v>
      </c>
      <c r="AJ281" s="9">
        <v>2.5586410393688488</v>
      </c>
      <c r="AK281" s="9">
        <v>0.84818103430688729</v>
      </c>
      <c r="AL281" s="9">
        <v>1.6003543512430145</v>
      </c>
      <c r="AM281" s="9">
        <v>6.040340016553996</v>
      </c>
      <c r="AN281" s="9">
        <v>9.0013043454885917</v>
      </c>
      <c r="AO281" s="9">
        <v>9.554012387397794</v>
      </c>
      <c r="AP281" s="9">
        <v>6.3873573681092992</v>
      </c>
      <c r="AQ281" s="9">
        <v>6.1940839945973325</v>
      </c>
      <c r="AR281" s="9">
        <v>1.2788793580611912</v>
      </c>
      <c r="AS281" s="9">
        <v>6.0498975383881302</v>
      </c>
      <c r="AT281" s="9">
        <v>9.3083435438393636</v>
      </c>
      <c r="AU281" s="9">
        <v>14.071293825476928</v>
      </c>
      <c r="AV281" s="9">
        <v>8.8453226763364583</v>
      </c>
      <c r="AW281" s="9">
        <v>2.4720605796097477</v>
      </c>
      <c r="AX281" s="9">
        <v>0.66281094221042636</v>
      </c>
      <c r="AY281" s="9">
        <v>1.6005474632212042</v>
      </c>
      <c r="AZ281" s="9">
        <v>6.1413053341084423</v>
      </c>
      <c r="BA281" s="9">
        <v>9.2478134960757128</v>
      </c>
      <c r="BB281" s="9">
        <v>9.7575002840715044</v>
      </c>
      <c r="BC281" s="9">
        <v>6.3892918069235876</v>
      </c>
      <c r="BD281" s="9">
        <v>6.1883807118171505</v>
      </c>
    </row>
    <row r="282" spans="3:56" x14ac:dyDescent="0.25">
      <c r="C282" s="111">
        <v>33.395499999999998</v>
      </c>
      <c r="F282" s="111">
        <v>12.189</v>
      </c>
      <c r="G282" s="112">
        <v>50</v>
      </c>
      <c r="J282" s="111">
        <v>2222.42</v>
      </c>
      <c r="K282" s="111">
        <v>2090.3200000000002</v>
      </c>
      <c r="L282" s="91">
        <v>7.9048674179598013</v>
      </c>
      <c r="M282" s="12">
        <v>546.66671449583566</v>
      </c>
      <c r="N282" s="11">
        <v>22.549341740089098</v>
      </c>
      <c r="O282" s="11">
        <v>1964.1904169844818</v>
      </c>
      <c r="P282" s="11">
        <v>103.58024127542915</v>
      </c>
      <c r="Q282" s="11">
        <v>2.4700151954419072</v>
      </c>
      <c r="R282" s="11">
        <v>1.5736777379662155</v>
      </c>
      <c r="S282" s="13">
        <v>14.429036100903506</v>
      </c>
      <c r="T282" s="14">
        <v>1025.5325301470189</v>
      </c>
      <c r="U282" s="91">
        <v>8.0186788902699337</v>
      </c>
      <c r="V282" s="12">
        <v>401.9900951760419</v>
      </c>
      <c r="W282" s="11">
        <v>21.155186058197248</v>
      </c>
      <c r="X282" s="11">
        <v>1968.2207543343529</v>
      </c>
      <c r="Y282" s="11">
        <v>100.94405960744994</v>
      </c>
      <c r="Z282" s="11">
        <v>2.4303102037054045</v>
      </c>
      <c r="AA282" s="11">
        <v>1.5301090361464558</v>
      </c>
      <c r="AB282" s="13">
        <v>14.670643133601136</v>
      </c>
      <c r="AC282" s="14">
        <v>1026.4034059722737</v>
      </c>
      <c r="AD282" s="15">
        <v>4</v>
      </c>
      <c r="AE282" s="9">
        <v>1.384588762841872</v>
      </c>
      <c r="AF282" s="9">
        <v>5.964817698594838</v>
      </c>
      <c r="AG282" s="9">
        <v>9.1827740874981494</v>
      </c>
      <c r="AH282" s="9">
        <v>13.746924989865088</v>
      </c>
      <c r="AI282" s="9">
        <v>8.7493372372513178</v>
      </c>
      <c r="AJ282" s="9">
        <v>2.5339533555004721</v>
      </c>
      <c r="AK282" s="9">
        <v>0.79617445551382315</v>
      </c>
      <c r="AL282" s="9">
        <v>1.5987611656623975</v>
      </c>
      <c r="AM282" s="9">
        <v>6.0662777207844671</v>
      </c>
      <c r="AN282" s="9">
        <v>9.0694064634587548</v>
      </c>
      <c r="AO282" s="9">
        <v>9.6089175733472807</v>
      </c>
      <c r="AP282" s="9">
        <v>6.3856166750958749</v>
      </c>
      <c r="AQ282" s="9">
        <v>6.1898328511800065</v>
      </c>
      <c r="AR282" s="9">
        <v>1.2787985031593687</v>
      </c>
      <c r="AS282" s="9">
        <v>6.0500219325316369</v>
      </c>
      <c r="AT282" s="9">
        <v>9.308671930765346</v>
      </c>
      <c r="AU282" s="9">
        <v>14.071495271107276</v>
      </c>
      <c r="AV282" s="9">
        <v>8.8454974637113644</v>
      </c>
      <c r="AW282" s="9">
        <v>2.4723152774628714</v>
      </c>
      <c r="AX282" s="9">
        <v>0.66315281152719863</v>
      </c>
      <c r="AY282" s="9">
        <v>1.6006276132406305</v>
      </c>
      <c r="AZ282" s="9">
        <v>6.1414569292359724</v>
      </c>
      <c r="BA282" s="9">
        <v>9.2476351648995596</v>
      </c>
      <c r="BB282" s="9">
        <v>9.7575729060762786</v>
      </c>
      <c r="BC282" s="9">
        <v>6.3897749121512843</v>
      </c>
      <c r="BD282" s="9">
        <v>6.1888355817706273</v>
      </c>
    </row>
    <row r="283" spans="3:56" x14ac:dyDescent="0.25">
      <c r="C283" s="111">
        <v>33.854199999999999</v>
      </c>
      <c r="F283" s="111">
        <v>10.15</v>
      </c>
      <c r="G283" s="112">
        <v>100</v>
      </c>
      <c r="J283" s="111">
        <v>2248.69</v>
      </c>
      <c r="K283" s="111">
        <v>2180.27</v>
      </c>
      <c r="L283" s="91">
        <v>7.7386680092449289</v>
      </c>
      <c r="M283" s="12">
        <v>828.73669003759142</v>
      </c>
      <c r="N283" s="11">
        <v>36.424108321230811</v>
      </c>
      <c r="O283" s="11">
        <v>2074.0101968907397</v>
      </c>
      <c r="P283" s="11">
        <v>69.835694788029315</v>
      </c>
      <c r="Q283" s="11">
        <v>1.64453697904324</v>
      </c>
      <c r="R283" s="11">
        <v>1.0454584539108569</v>
      </c>
      <c r="S283" s="13">
        <v>17.29266430470755</v>
      </c>
      <c r="T283" s="14">
        <v>1026.484743159011</v>
      </c>
      <c r="U283" s="91">
        <v>7.8200362807506378</v>
      </c>
      <c r="V283" s="12">
        <v>669.27959285753377</v>
      </c>
      <c r="W283" s="11">
        <v>35.126542507942609</v>
      </c>
      <c r="X283" s="11">
        <v>2076.9815721012874</v>
      </c>
      <c r="Y283" s="11">
        <v>68.161885390769939</v>
      </c>
      <c r="Z283" s="11">
        <v>1.6370601462787957</v>
      </c>
      <c r="AA283" s="11">
        <v>1.0316241099357197</v>
      </c>
      <c r="AB283" s="13">
        <v>17.611928556840809</v>
      </c>
      <c r="AC283" s="14">
        <v>1026.7669901535396</v>
      </c>
      <c r="AD283" s="15">
        <v>4</v>
      </c>
      <c r="AE283" s="9">
        <v>1.357027637617682</v>
      </c>
      <c r="AF283" s="9">
        <v>5.983246050819079</v>
      </c>
      <c r="AG283" s="9">
        <v>9.2114014382618166</v>
      </c>
      <c r="AH283" s="9">
        <v>13.8314456277277</v>
      </c>
      <c r="AI283" s="9">
        <v>8.7700926696787267</v>
      </c>
      <c r="AJ283" s="9">
        <v>2.5119298914587178</v>
      </c>
      <c r="AK283" s="9">
        <v>0.75310078549259118</v>
      </c>
      <c r="AL283" s="9">
        <v>1.5958906196220224</v>
      </c>
      <c r="AM283" s="9">
        <v>6.0815141730478617</v>
      </c>
      <c r="AN283" s="9">
        <v>9.1182634755709859</v>
      </c>
      <c r="AO283" s="9">
        <v>9.6453567592603182</v>
      </c>
      <c r="AP283" s="9">
        <v>6.3742355481782846</v>
      </c>
      <c r="AQ283" s="9">
        <v>6.1774986835205752</v>
      </c>
      <c r="AR283" s="9">
        <v>1.2799721785855049</v>
      </c>
      <c r="AS283" s="9">
        <v>6.0482390419081042</v>
      </c>
      <c r="AT283" s="9">
        <v>9.3039273293296478</v>
      </c>
      <c r="AU283" s="9">
        <v>14.068590619568623</v>
      </c>
      <c r="AV283" s="9">
        <v>8.8429781437777724</v>
      </c>
      <c r="AW283" s="9">
        <v>2.4686292745003269</v>
      </c>
      <c r="AX283" s="9">
        <v>0.65814946566895949</v>
      </c>
      <c r="AY283" s="9">
        <v>1.5994810183389654</v>
      </c>
      <c r="AZ283" s="9">
        <v>6.1392990813421129</v>
      </c>
      <c r="BA283" s="9">
        <v>9.25038102181888</v>
      </c>
      <c r="BB283" s="9">
        <v>9.7565332113224965</v>
      </c>
      <c r="BC283" s="9">
        <v>6.3827924041090149</v>
      </c>
      <c r="BD283" s="9">
        <v>6.1822492516590204</v>
      </c>
    </row>
    <row r="284" spans="3:56" x14ac:dyDescent="0.25">
      <c r="C284" s="111">
        <v>34.0503</v>
      </c>
      <c r="F284" s="111">
        <v>9.968</v>
      </c>
      <c r="G284" s="112">
        <v>170</v>
      </c>
      <c r="J284" s="111">
        <v>2261.69</v>
      </c>
      <c r="K284" s="111">
        <v>2210.69</v>
      </c>
      <c r="L284" s="91">
        <v>7.6794680293779871</v>
      </c>
      <c r="M284" s="12">
        <v>955.87741918605047</v>
      </c>
      <c r="N284" s="11">
        <v>42.217709516039037</v>
      </c>
      <c r="O284" s="11">
        <v>2106.4460910021262</v>
      </c>
      <c r="P284" s="11">
        <v>62.026199481834851</v>
      </c>
      <c r="Q284" s="11">
        <v>1.4401653493828188</v>
      </c>
      <c r="R284" s="11">
        <v>0.9163477767195346</v>
      </c>
      <c r="S284" s="13">
        <v>17.912581937716212</v>
      </c>
      <c r="T284" s="14">
        <v>1026.9852583564782</v>
      </c>
      <c r="U284" s="91">
        <v>7.7597406929578518</v>
      </c>
      <c r="V284" s="12">
        <v>780.46346383720891</v>
      </c>
      <c r="W284" s="11">
        <v>40.914630886784963</v>
      </c>
      <c r="X284" s="11">
        <v>2109.2475883085649</v>
      </c>
      <c r="Y284" s="11">
        <v>60.527780804650085</v>
      </c>
      <c r="Z284" s="11">
        <v>1.4521799856653708</v>
      </c>
      <c r="AA284" s="11">
        <v>0.91545645019765898</v>
      </c>
      <c r="AB284" s="13">
        <v>18.256063248313378</v>
      </c>
      <c r="AC284" s="14">
        <v>1026.9224454435587</v>
      </c>
      <c r="AD284" s="15">
        <v>4</v>
      </c>
      <c r="AE284" s="9">
        <v>1.3549075349810078</v>
      </c>
      <c r="AF284" s="9">
        <v>5.9814123477615349</v>
      </c>
      <c r="AG284" s="9">
        <v>9.2104432068011661</v>
      </c>
      <c r="AH284" s="9">
        <v>13.835747149551878</v>
      </c>
      <c r="AI284" s="9">
        <v>8.7677157442522873</v>
      </c>
      <c r="AJ284" s="9">
        <v>2.5075131594602755</v>
      </c>
      <c r="AK284" s="9">
        <v>0.74555186960914488</v>
      </c>
      <c r="AL284" s="9">
        <v>1.5936290583931481</v>
      </c>
      <c r="AM284" s="9">
        <v>6.0795540202643252</v>
      </c>
      <c r="AN284" s="9">
        <v>9.1205217380168833</v>
      </c>
      <c r="AO284" s="9">
        <v>9.6449085773188603</v>
      </c>
      <c r="AP284" s="9">
        <v>6.3655981618663233</v>
      </c>
      <c r="AQ284" s="9">
        <v>6.1692461348389367</v>
      </c>
      <c r="AR284" s="9">
        <v>1.2804739395427001</v>
      </c>
      <c r="AS284" s="9">
        <v>6.0474917692682979</v>
      </c>
      <c r="AT284" s="9">
        <v>9.3019135029724911</v>
      </c>
      <c r="AU284" s="9">
        <v>14.067361506356592</v>
      </c>
      <c r="AV284" s="9">
        <v>8.8419127470756838</v>
      </c>
      <c r="AW284" s="9">
        <v>2.4670606974476792</v>
      </c>
      <c r="AX284" s="9">
        <v>0.65598307620285501</v>
      </c>
      <c r="AY284" s="9">
        <v>1.5990017761407056</v>
      </c>
      <c r="AZ284" s="9">
        <v>6.1384042908580811</v>
      </c>
      <c r="BA284" s="9">
        <v>9.25165701756932</v>
      </c>
      <c r="BB284" s="9">
        <v>9.7560981255403245</v>
      </c>
      <c r="BC284" s="9">
        <v>6.3798266716015712</v>
      </c>
      <c r="BD284" s="9">
        <v>6.1794439137128592</v>
      </c>
    </row>
    <row r="285" spans="3:56" x14ac:dyDescent="0.25">
      <c r="C285" s="111">
        <v>34.172600000000003</v>
      </c>
      <c r="F285" s="111">
        <v>9.5419999999999998</v>
      </c>
      <c r="G285" s="112">
        <v>230</v>
      </c>
      <c r="J285" s="111">
        <v>2273.29</v>
      </c>
      <c r="K285" s="111">
        <v>2236.0300000000002</v>
      </c>
      <c r="L285" s="91">
        <v>7.6361063772132312</v>
      </c>
      <c r="M285" s="12">
        <v>1058.9609833708284</v>
      </c>
      <c r="N285" s="11">
        <v>47.403069351221397</v>
      </c>
      <c r="O285" s="11">
        <v>2132.3635885028552</v>
      </c>
      <c r="P285" s="11">
        <v>56.263342145923204</v>
      </c>
      <c r="Q285" s="11">
        <v>1.2907468650297653</v>
      </c>
      <c r="R285" s="11">
        <v>0.82145929780043725</v>
      </c>
      <c r="S285" s="13">
        <v>18.305183994813667</v>
      </c>
      <c r="T285" s="14">
        <v>1027.4243888385945</v>
      </c>
      <c r="U285" s="91">
        <v>7.7117017984014646</v>
      </c>
      <c r="V285" s="12">
        <v>882.01626959351881</v>
      </c>
      <c r="W285" s="11">
        <v>46.205080123135936</v>
      </c>
      <c r="X285" s="11">
        <v>2134.8200547611791</v>
      </c>
      <c r="Y285" s="11">
        <v>55.004865115684979</v>
      </c>
      <c r="Z285" s="11">
        <v>1.3188032164752501</v>
      </c>
      <c r="AA285" s="11">
        <v>0.83156182918007204</v>
      </c>
      <c r="AB285" s="13">
        <v>18.633945475174201</v>
      </c>
      <c r="AC285" s="14">
        <v>1027.0194025660865</v>
      </c>
      <c r="AD285" s="15">
        <v>4</v>
      </c>
      <c r="AE285" s="9">
        <v>1.3490734959703847</v>
      </c>
      <c r="AF285" s="9">
        <v>5.9830515823330979</v>
      </c>
      <c r="AG285" s="9">
        <v>9.2147421087825272</v>
      </c>
      <c r="AH285" s="9">
        <v>13.851758418265925</v>
      </c>
      <c r="AI285" s="9">
        <v>8.7693915150986754</v>
      </c>
      <c r="AJ285" s="9">
        <v>2.5017644486021942</v>
      </c>
      <c r="AK285" s="9">
        <v>0.73445214802553838</v>
      </c>
      <c r="AL285" s="9">
        <v>1.5918065081041974</v>
      </c>
      <c r="AM285" s="9">
        <v>6.080788498908376</v>
      </c>
      <c r="AN285" s="9">
        <v>9.1288357491972612</v>
      </c>
      <c r="AO285" s="9">
        <v>9.6500240207537384</v>
      </c>
      <c r="AP285" s="9">
        <v>6.358819447864966</v>
      </c>
      <c r="AQ285" s="9">
        <v>6.1625644185590129</v>
      </c>
      <c r="AR285" s="9">
        <v>1.280786868482348</v>
      </c>
      <c r="AS285" s="9">
        <v>6.0470302521158468</v>
      </c>
      <c r="AT285" s="9">
        <v>9.3006619683380265</v>
      </c>
      <c r="AU285" s="9">
        <v>14.066598751818235</v>
      </c>
      <c r="AV285" s="9">
        <v>8.8412518078910374</v>
      </c>
      <c r="AW285" s="9">
        <v>2.4660846045928007</v>
      </c>
      <c r="AX285" s="9">
        <v>0.65462343664876366</v>
      </c>
      <c r="AY285" s="9">
        <v>1.5987061714881126</v>
      </c>
      <c r="AZ285" s="9">
        <v>6.137854553856803</v>
      </c>
      <c r="BA285" s="9">
        <v>9.2524834181866478</v>
      </c>
      <c r="BB285" s="9">
        <v>9.7558295955720418</v>
      </c>
      <c r="BC285" s="9">
        <v>6.3779827891047569</v>
      </c>
      <c r="BD285" s="9">
        <v>6.1776973373031501</v>
      </c>
    </row>
    <row r="286" spans="3:56" x14ac:dyDescent="0.25">
      <c r="C286" s="111">
        <v>34.1785</v>
      </c>
      <c r="F286" s="111">
        <v>8.2309999999999999</v>
      </c>
      <c r="G286" s="112">
        <v>320</v>
      </c>
      <c r="J286" s="111">
        <v>2288.11</v>
      </c>
      <c r="K286" s="111">
        <v>2274.4299999999998</v>
      </c>
      <c r="L286" s="91">
        <v>7.5712658362645886</v>
      </c>
      <c r="M286" s="12">
        <v>1227.3747534838731</v>
      </c>
      <c r="N286" s="11">
        <v>57.420247403095111</v>
      </c>
      <c r="O286" s="11">
        <v>2169.9054440691675</v>
      </c>
      <c r="P286" s="11">
        <v>47.104308527737011</v>
      </c>
      <c r="Q286" s="11">
        <v>1.0616807851644046</v>
      </c>
      <c r="R286" s="11">
        <v>0.67500697401113952</v>
      </c>
      <c r="S286" s="13">
        <v>18.715566709103037</v>
      </c>
      <c r="T286" s="14">
        <v>1028.0506253710528</v>
      </c>
      <c r="U286" s="91">
        <v>7.6306415999754647</v>
      </c>
      <c r="V286" s="12">
        <v>1081.1885658881361</v>
      </c>
      <c r="W286" s="11">
        <v>56.636900649081277</v>
      </c>
      <c r="X286" s="11">
        <v>2171.365852960198</v>
      </c>
      <c r="Y286" s="11">
        <v>46.427246390720427</v>
      </c>
      <c r="Z286" s="11">
        <v>1.1131096638781495</v>
      </c>
      <c r="AA286" s="11">
        <v>0.70187074817499162</v>
      </c>
      <c r="AB286" s="13">
        <v>18.938847909010644</v>
      </c>
      <c r="AC286" s="14">
        <v>1027.0240800846157</v>
      </c>
      <c r="AD286" s="15">
        <v>4</v>
      </c>
      <c r="AE286" s="9">
        <v>1.3299121264259297</v>
      </c>
      <c r="AF286" s="9">
        <v>5.9938900862288333</v>
      </c>
      <c r="AG286" s="9">
        <v>9.2346460127738403</v>
      </c>
      <c r="AH286" s="9">
        <v>13.907235935777843</v>
      </c>
      <c r="AI286" s="9">
        <v>8.7815516609656026</v>
      </c>
      <c r="AJ286" s="9">
        <v>2.4886891699707943</v>
      </c>
      <c r="AK286" s="9">
        <v>0.70670385984109485</v>
      </c>
      <c r="AL286" s="9">
        <v>1.589583981061645</v>
      </c>
      <c r="AM286" s="9">
        <v>6.0903497474363357</v>
      </c>
      <c r="AN286" s="9">
        <v>9.1568232554770379</v>
      </c>
      <c r="AO286" s="9">
        <v>9.6717237983674842</v>
      </c>
      <c r="AP286" s="9">
        <v>6.3510622441355666</v>
      </c>
      <c r="AQ286" s="9">
        <v>6.1543765466696181</v>
      </c>
      <c r="AR286" s="9">
        <v>1.2808019648089541</v>
      </c>
      <c r="AS286" s="9">
        <v>6.0470080755328715</v>
      </c>
      <c r="AT286" s="9">
        <v>9.3006016774405822</v>
      </c>
      <c r="AU286" s="9">
        <v>14.066562028374554</v>
      </c>
      <c r="AV286" s="9">
        <v>8.8412199907895062</v>
      </c>
      <c r="AW286" s="9">
        <v>2.466037557799007</v>
      </c>
      <c r="AX286" s="9">
        <v>0.65455767696783373</v>
      </c>
      <c r="AY286" s="9">
        <v>1.5986919743324586</v>
      </c>
      <c r="AZ286" s="9">
        <v>6.1378281940622834</v>
      </c>
      <c r="BA286" s="9">
        <v>9.2525238771994651</v>
      </c>
      <c r="BB286" s="9">
        <v>9.7558166955777583</v>
      </c>
      <c r="BC286" s="9">
        <v>6.3778939466174602</v>
      </c>
      <c r="BD286" s="9">
        <v>6.177613136084382</v>
      </c>
    </row>
    <row r="287" spans="3:56" x14ac:dyDescent="0.25">
      <c r="C287" s="111">
        <v>34.244100000000003</v>
      </c>
      <c r="F287" s="111">
        <v>6.6890000000000001</v>
      </c>
      <c r="G287" s="112">
        <v>515</v>
      </c>
      <c r="J287" s="111">
        <v>2333.2399999999998</v>
      </c>
      <c r="K287" s="111">
        <v>2340.7600000000002</v>
      </c>
      <c r="L287" s="91">
        <v>7.513921972993451</v>
      </c>
      <c r="M287" s="12">
        <v>1394.1736823488213</v>
      </c>
      <c r="N287" s="11">
        <v>68.761288613264284</v>
      </c>
      <c r="O287" s="11">
        <v>2231.4892640180997</v>
      </c>
      <c r="P287" s="11">
        <v>40.509447368636422</v>
      </c>
      <c r="Q287" s="11">
        <v>0.87819471171901753</v>
      </c>
      <c r="R287" s="11">
        <v>0.55847945305145952</v>
      </c>
      <c r="S287" s="13">
        <v>18.742867080980318</v>
      </c>
      <c r="T287" s="14">
        <v>1029.2213675123253</v>
      </c>
      <c r="U287" s="91">
        <v>7.5592926968710348</v>
      </c>
      <c r="V287" s="12">
        <v>1309.3766622562073</v>
      </c>
      <c r="W287" s="11">
        <v>68.56378438322119</v>
      </c>
      <c r="X287" s="11">
        <v>2231.6466439232308</v>
      </c>
      <c r="Y287" s="11">
        <v>40.54957169354811</v>
      </c>
      <c r="Z287" s="11">
        <v>0.97184482578202069</v>
      </c>
      <c r="AA287" s="11">
        <v>0.61286862988288948</v>
      </c>
      <c r="AB287" s="13">
        <v>18.798416220991463</v>
      </c>
      <c r="AC287" s="14">
        <v>1027.0760884339215</v>
      </c>
      <c r="AD287" s="15">
        <v>4</v>
      </c>
      <c r="AE287" s="9">
        <v>1.306972873413857</v>
      </c>
      <c r="AF287" s="9">
        <v>6.0026711781970983</v>
      </c>
      <c r="AG287" s="9">
        <v>9.2549604561656231</v>
      </c>
      <c r="AH287" s="9">
        <v>13.969770919313962</v>
      </c>
      <c r="AI287" s="9">
        <v>8.7909514759375096</v>
      </c>
      <c r="AJ287" s="9">
        <v>2.4710886774955343</v>
      </c>
      <c r="AK287" s="9">
        <v>0.66995476460042458</v>
      </c>
      <c r="AL287" s="9">
        <v>1.584698080372978</v>
      </c>
      <c r="AM287" s="9">
        <v>6.0980756219943988</v>
      </c>
      <c r="AN287" s="9">
        <v>9.1861874927116673</v>
      </c>
      <c r="AO287" s="9">
        <v>9.6928225212470895</v>
      </c>
      <c r="AP287" s="9">
        <v>6.3333306608973894</v>
      </c>
      <c r="AQ287" s="9">
        <v>6.1367470430107964</v>
      </c>
      <c r="AR287" s="9">
        <v>1.2809698154912181</v>
      </c>
      <c r="AS287" s="9">
        <v>6.0467620472882269</v>
      </c>
      <c r="AT287" s="9">
        <v>9.2999318556282589</v>
      </c>
      <c r="AU287" s="9">
        <v>14.066154167236245</v>
      </c>
      <c r="AV287" s="9">
        <v>8.840866648409353</v>
      </c>
      <c r="AW287" s="9">
        <v>2.4655147203338466</v>
      </c>
      <c r="AX287" s="9">
        <v>0.653825470184625</v>
      </c>
      <c r="AY287" s="9">
        <v>1.5985345133244024</v>
      </c>
      <c r="AZ287" s="9">
        <v>6.1375361021722288</v>
      </c>
      <c r="BA287" s="9">
        <v>9.2529773858080286</v>
      </c>
      <c r="BB287" s="9">
        <v>9.7556736017140615</v>
      </c>
      <c r="BC287" s="9">
        <v>6.3769068173553061</v>
      </c>
      <c r="BD287" s="9">
        <v>6.1766772828326486</v>
      </c>
    </row>
    <row r="288" spans="3:56" x14ac:dyDescent="0.25">
      <c r="C288" s="111">
        <v>33.470799999999997</v>
      </c>
      <c r="F288" s="111">
        <v>20.372</v>
      </c>
      <c r="G288" s="112">
        <v>2</v>
      </c>
      <c r="J288" s="111">
        <v>2237.09</v>
      </c>
      <c r="K288" s="111">
        <v>1997.51</v>
      </c>
      <c r="L288" s="91">
        <v>8.0253028032063884</v>
      </c>
      <c r="M288" s="12">
        <v>404.97844687747926</v>
      </c>
      <c r="N288" s="11">
        <v>13.097873238102299</v>
      </c>
      <c r="O288" s="11">
        <v>1811.972837888911</v>
      </c>
      <c r="P288" s="11">
        <v>172.43928887298674</v>
      </c>
      <c r="Q288" s="11">
        <v>4.1715976476397616</v>
      </c>
      <c r="R288" s="11">
        <v>2.7063643500033061</v>
      </c>
      <c r="S288" s="13">
        <v>10.758347951515097</v>
      </c>
      <c r="T288" s="14">
        <v>1023.5079574484868</v>
      </c>
      <c r="U288" s="91">
        <v>8.2674917132107009</v>
      </c>
      <c r="V288" s="12">
        <v>209.62290259906149</v>
      </c>
      <c r="W288" s="11">
        <v>11.026750729598657</v>
      </c>
      <c r="X288" s="11">
        <v>1820.5951231322663</v>
      </c>
      <c r="Y288" s="11">
        <v>165.88812613813516</v>
      </c>
      <c r="Z288" s="11">
        <v>3.9923049176154564</v>
      </c>
      <c r="AA288" s="11">
        <v>2.5139198423250106</v>
      </c>
      <c r="AB288" s="13">
        <v>10.98054967033625</v>
      </c>
      <c r="AC288" s="14">
        <v>1026.4630876691199</v>
      </c>
      <c r="AD288" s="15">
        <v>4</v>
      </c>
      <c r="AE288" s="9">
        <v>1.4902311275069577</v>
      </c>
      <c r="AF288" s="9">
        <v>5.8843519030326172</v>
      </c>
      <c r="AG288" s="9">
        <v>9.0468182631818479</v>
      </c>
      <c r="AH288" s="9">
        <v>13.405501404167516</v>
      </c>
      <c r="AI288" s="9">
        <v>8.6511457298084373</v>
      </c>
      <c r="AJ288" s="9">
        <v>2.6017026362337825</v>
      </c>
      <c r="AK288" s="9">
        <v>0.93708077499232512</v>
      </c>
      <c r="AL288" s="9">
        <v>1.6049527216316259</v>
      </c>
      <c r="AM288" s="9">
        <v>5.9978306685918996</v>
      </c>
      <c r="AN288" s="9">
        <v>8.8819056875023357</v>
      </c>
      <c r="AO288" s="9">
        <v>9.4598901511782678</v>
      </c>
      <c r="AP288" s="9">
        <v>6.3908820164741504</v>
      </c>
      <c r="AQ288" s="9">
        <v>6.2029658665938641</v>
      </c>
      <c r="AR288" s="9">
        <v>1.278991173226053</v>
      </c>
      <c r="AS288" s="9">
        <v>6.0497258952050919</v>
      </c>
      <c r="AT288" s="9">
        <v>9.3078897868416366</v>
      </c>
      <c r="AU288" s="9">
        <v>14.071015573383368</v>
      </c>
      <c r="AV288" s="9">
        <v>8.8450812619317354</v>
      </c>
      <c r="AW288" s="9">
        <v>2.4717085433748887</v>
      </c>
      <c r="AX288" s="9">
        <v>0.66233749147415677</v>
      </c>
      <c r="AY288" s="9">
        <v>1.6004369074621458</v>
      </c>
      <c r="AZ288" s="9">
        <v>6.1410964124567133</v>
      </c>
      <c r="BA288" s="9">
        <v>9.2480627683645462</v>
      </c>
      <c r="BB288" s="9">
        <v>9.7574000988032861</v>
      </c>
      <c r="BC288" s="9">
        <v>6.3886242280643035</v>
      </c>
      <c r="BD288" s="9">
        <v>6.1877519502211449</v>
      </c>
    </row>
    <row r="289" spans="3:56" x14ac:dyDescent="0.25">
      <c r="C289" s="111">
        <v>33.363199999999999</v>
      </c>
      <c r="F289" s="111">
        <v>16.466000000000001</v>
      </c>
      <c r="G289" s="112">
        <v>20</v>
      </c>
      <c r="J289" s="111">
        <v>2230.7199999999998</v>
      </c>
      <c r="K289" s="111">
        <v>2004.8</v>
      </c>
      <c r="L289" s="91">
        <v>8.0594013342051483</v>
      </c>
      <c r="M289" s="12">
        <v>368.28036923074677</v>
      </c>
      <c r="N289" s="11">
        <v>13.324342156037414</v>
      </c>
      <c r="O289" s="11">
        <v>1829.3886894740547</v>
      </c>
      <c r="P289" s="11">
        <v>162.08696836990771</v>
      </c>
      <c r="Q289" s="11">
        <v>3.8966618906420436</v>
      </c>
      <c r="R289" s="11">
        <v>2.5038894956553754</v>
      </c>
      <c r="S289" s="13">
        <v>11.15362916616273</v>
      </c>
      <c r="T289" s="14">
        <v>1024.4719366657323</v>
      </c>
      <c r="U289" s="91">
        <v>8.2418242094726537</v>
      </c>
      <c r="V289" s="12">
        <v>224.31066141477979</v>
      </c>
      <c r="W289" s="11">
        <v>11.806850353415154</v>
      </c>
      <c r="X289" s="11">
        <v>1835.7305939218459</v>
      </c>
      <c r="Y289" s="11">
        <v>157.2625557247388</v>
      </c>
      <c r="Z289" s="11">
        <v>3.7868678645475375</v>
      </c>
      <c r="AA289" s="11">
        <v>2.3840305503324748</v>
      </c>
      <c r="AB289" s="13">
        <v>11.324850545797364</v>
      </c>
      <c r="AC289" s="14">
        <v>1026.3778059512103</v>
      </c>
      <c r="AD289" s="15">
        <v>4</v>
      </c>
      <c r="AE289" s="9">
        <v>1.4415327934762281</v>
      </c>
      <c r="AF289" s="9">
        <v>5.9217411209705393</v>
      </c>
      <c r="AG289" s="9">
        <v>9.1119592244481709</v>
      </c>
      <c r="AH289" s="9">
        <v>13.566024862880944</v>
      </c>
      <c r="AI289" s="9">
        <v>8.698001211804776</v>
      </c>
      <c r="AJ289" s="9">
        <v>2.5705068996876506</v>
      </c>
      <c r="AK289" s="9">
        <v>0.87225595112825183</v>
      </c>
      <c r="AL289" s="9">
        <v>1.6016089017189905</v>
      </c>
      <c r="AM289" s="9">
        <v>6.0294320877097931</v>
      </c>
      <c r="AN289" s="9">
        <v>8.9701389831764988</v>
      </c>
      <c r="AO289" s="9">
        <v>9.5295752900218602</v>
      </c>
      <c r="AP289" s="9">
        <v>6.3895588443338651</v>
      </c>
      <c r="AQ289" s="9">
        <v>6.1974812784035009</v>
      </c>
      <c r="AR289" s="9">
        <v>1.2787158571679491</v>
      </c>
      <c r="AS289" s="9">
        <v>6.0501493224152902</v>
      </c>
      <c r="AT289" s="9">
        <v>9.309007826067031</v>
      </c>
      <c r="AU289" s="9">
        <v>14.071701386060509</v>
      </c>
      <c r="AV289" s="9">
        <v>8.8456763119656721</v>
      </c>
      <c r="AW289" s="9">
        <v>2.4725757356801186</v>
      </c>
      <c r="AX289" s="9">
        <v>0.66350183181978373</v>
      </c>
      <c r="AY289" s="9">
        <v>1.6007097175425185</v>
      </c>
      <c r="AZ289" s="9">
        <v>6.141612335430743</v>
      </c>
      <c r="BA289" s="9">
        <v>9.2474545520033349</v>
      </c>
      <c r="BB289" s="9">
        <v>9.7576472904262381</v>
      </c>
      <c r="BC289" s="9">
        <v>6.3902690418723882</v>
      </c>
      <c r="BD289" s="9">
        <v>6.1893007067577521</v>
      </c>
    </row>
    <row r="290" spans="3:56" x14ac:dyDescent="0.25">
      <c r="C290" s="111">
        <v>33.342300000000002</v>
      </c>
      <c r="F290" s="111">
        <v>11.025</v>
      </c>
      <c r="G290" s="112">
        <v>50</v>
      </c>
      <c r="J290" s="111">
        <v>2219.83</v>
      </c>
      <c r="K290" s="111">
        <v>2098.36</v>
      </c>
      <c r="L290" s="91">
        <v>7.8944042493735935</v>
      </c>
      <c r="M290" s="12">
        <v>559.23793492425341</v>
      </c>
      <c r="N290" s="11">
        <v>23.955475246414242</v>
      </c>
      <c r="O290" s="11">
        <v>1977.28819494962</v>
      </c>
      <c r="P290" s="11">
        <v>97.116329803965797</v>
      </c>
      <c r="Q290" s="11">
        <v>2.3156060664998228</v>
      </c>
      <c r="R290" s="11">
        <v>1.4719712568142433</v>
      </c>
      <c r="S290" s="13">
        <v>14.928062154504273</v>
      </c>
      <c r="T290" s="14">
        <v>1025.7065169221685</v>
      </c>
      <c r="U290" s="91">
        <v>7.9899776466200541</v>
      </c>
      <c r="V290" s="12">
        <v>432.2376583805206</v>
      </c>
      <c r="W290" s="11">
        <v>22.754129289316374</v>
      </c>
      <c r="X290" s="11">
        <v>1980.642015327936</v>
      </c>
      <c r="Y290" s="11">
        <v>94.963855382747823</v>
      </c>
      <c r="Z290" s="11">
        <v>2.2869723898037462</v>
      </c>
      <c r="AA290" s="11">
        <v>1.4397057561879327</v>
      </c>
      <c r="AB290" s="13">
        <v>15.150339359092289</v>
      </c>
      <c r="AC290" s="14">
        <v>1026.3612413895978</v>
      </c>
      <c r="AD290" s="15">
        <v>4</v>
      </c>
      <c r="AE290" s="9">
        <v>1.3681918322067625</v>
      </c>
      <c r="AF290" s="9">
        <v>5.9777390670189954</v>
      </c>
      <c r="AG290" s="9">
        <v>9.2031819615696495</v>
      </c>
      <c r="AH290" s="9">
        <v>13.798107163628664</v>
      </c>
      <c r="AI290" s="9">
        <v>8.7643715348726889</v>
      </c>
      <c r="AJ290" s="9">
        <v>2.5244681257055475</v>
      </c>
      <c r="AK290" s="9">
        <v>0.77562937400038101</v>
      </c>
      <c r="AL290" s="9">
        <v>1.5986529988142166</v>
      </c>
      <c r="AM290" s="9">
        <v>6.0776124615066731</v>
      </c>
      <c r="AN290" s="9">
        <v>9.0970530096813391</v>
      </c>
      <c r="AO290" s="9">
        <v>9.6318106806606369</v>
      </c>
      <c r="AP290" s="9">
        <v>6.3862587811108584</v>
      </c>
      <c r="AQ290" s="9">
        <v>6.1894934320508801</v>
      </c>
      <c r="AR290" s="9">
        <v>1.2786623803499717</v>
      </c>
      <c r="AS290" s="9">
        <v>6.0502318805517179</v>
      </c>
      <c r="AT290" s="9">
        <v>9.30922529613831</v>
      </c>
      <c r="AU290" s="9">
        <v>14.071834866170901</v>
      </c>
      <c r="AV290" s="9">
        <v>8.8457921392041658</v>
      </c>
      <c r="AW290" s="9">
        <v>2.472744331293832</v>
      </c>
      <c r="AX290" s="9">
        <v>0.66372744185896537</v>
      </c>
      <c r="AY290" s="9">
        <v>1.6007629403031212</v>
      </c>
      <c r="AZ290" s="9">
        <v>6.1417131366973852</v>
      </c>
      <c r="BA290" s="9">
        <v>9.2473385848972409</v>
      </c>
      <c r="BB290" s="9">
        <v>9.7576955043459925</v>
      </c>
      <c r="BC290" s="9">
        <v>6.3905889472344759</v>
      </c>
      <c r="BD290" s="9">
        <v>6.1896017667919265</v>
      </c>
    </row>
    <row r="291" spans="3:56" x14ac:dyDescent="0.25">
      <c r="C291" s="111">
        <v>33.668199999999999</v>
      </c>
      <c r="F291" s="111">
        <v>10.364000000000001</v>
      </c>
      <c r="G291" s="112">
        <v>100</v>
      </c>
      <c r="J291" s="111">
        <v>2234.08</v>
      </c>
      <c r="K291" s="111">
        <v>2152.34</v>
      </c>
      <c r="L291" s="91">
        <v>7.7803610659566216</v>
      </c>
      <c r="M291" s="12">
        <v>743.48650049493597</v>
      </c>
      <c r="N291" s="11">
        <v>32.482582758941504</v>
      </c>
      <c r="O291" s="11">
        <v>2043.7981683804292</v>
      </c>
      <c r="P291" s="11">
        <v>76.059248860629211</v>
      </c>
      <c r="Q291" s="11">
        <v>1.7931976316831792</v>
      </c>
      <c r="R291" s="11">
        <v>1.1399785230680028</v>
      </c>
      <c r="S291" s="13">
        <v>16.726785810236215</v>
      </c>
      <c r="T291" s="14">
        <v>1026.3027134344338</v>
      </c>
      <c r="U291" s="91">
        <v>7.8657377175858656</v>
      </c>
      <c r="V291" s="12">
        <v>594.01420104435431</v>
      </c>
      <c r="W291" s="11">
        <v>31.210488575294825</v>
      </c>
      <c r="X291" s="11">
        <v>2046.8319734350962</v>
      </c>
      <c r="Y291" s="11">
        <v>74.297537989608912</v>
      </c>
      <c r="Z291" s="11">
        <v>1.7861931585469959</v>
      </c>
      <c r="AA291" s="11">
        <v>1.1251959619269754</v>
      </c>
      <c r="AB291" s="13">
        <v>17.020769663662112</v>
      </c>
      <c r="AC291" s="14">
        <v>1026.6195517538256</v>
      </c>
      <c r="AD291" s="15">
        <v>4</v>
      </c>
      <c r="AE291" s="9">
        <v>1.3596225338165884</v>
      </c>
      <c r="AF291" s="9">
        <v>5.9815736139644269</v>
      </c>
      <c r="AG291" s="9">
        <v>9.209647039436053</v>
      </c>
      <c r="AH291" s="9">
        <v>13.823237453778969</v>
      </c>
      <c r="AI291" s="9">
        <v>8.7683894603618739</v>
      </c>
      <c r="AJ291" s="9">
        <v>2.5152619716712246</v>
      </c>
      <c r="AK291" s="9">
        <v>0.75884508293530561</v>
      </c>
      <c r="AL291" s="9">
        <v>1.5964228624561656</v>
      </c>
      <c r="AM291" s="9">
        <v>6.080353398172007</v>
      </c>
      <c r="AN291" s="9">
        <v>9.1121579547439442</v>
      </c>
      <c r="AO291" s="9">
        <v>9.6415340255248214</v>
      </c>
      <c r="AP291" s="9">
        <v>6.3771381446361177</v>
      </c>
      <c r="AQ291" s="9">
        <v>6.1804066574304111</v>
      </c>
      <c r="AR291" s="9">
        <v>1.2794962604925004</v>
      </c>
      <c r="AS291" s="9">
        <v>6.0489560923978001</v>
      </c>
      <c r="AT291" s="9">
        <v>9.3058454873185443</v>
      </c>
      <c r="AU291" s="9">
        <v>14.069763407816176</v>
      </c>
      <c r="AV291" s="9">
        <v>8.8439950974588069</v>
      </c>
      <c r="AW291" s="9">
        <v>2.470121050837383</v>
      </c>
      <c r="AX291" s="9">
        <v>0.66018896008690875</v>
      </c>
      <c r="AY291" s="9">
        <v>1.5999416089115976</v>
      </c>
      <c r="AZ291" s="9">
        <v>6.1401630647920324</v>
      </c>
      <c r="BA291" s="9">
        <v>9.2492270314438816</v>
      </c>
      <c r="BB291" s="9">
        <v>9.7569510676421718</v>
      </c>
      <c r="BC291" s="9">
        <v>6.3856160190504792</v>
      </c>
      <c r="BD291" s="9">
        <v>6.184915762357404</v>
      </c>
    </row>
    <row r="292" spans="3:56" x14ac:dyDescent="0.25">
      <c r="C292" s="111">
        <v>33.959699999999998</v>
      </c>
      <c r="F292" s="111">
        <v>10.099</v>
      </c>
      <c r="G292" s="112">
        <v>170</v>
      </c>
      <c r="J292" s="111">
        <v>2254.67</v>
      </c>
      <c r="K292" s="111">
        <v>2193.9299999999998</v>
      </c>
      <c r="L292" s="91">
        <v>7.7105870266565439</v>
      </c>
      <c r="M292" s="12">
        <v>883.40266674485565</v>
      </c>
      <c r="N292" s="11">
        <v>38.86853553549561</v>
      </c>
      <c r="O292" s="11">
        <v>2088.7851640879285</v>
      </c>
      <c r="P292" s="11">
        <v>66.276300376575449</v>
      </c>
      <c r="Q292" s="11">
        <v>1.5397728096423891</v>
      </c>
      <c r="R292" s="11">
        <v>0.97978083421376105</v>
      </c>
      <c r="S292" s="13">
        <v>17.584993770454226</v>
      </c>
      <c r="T292" s="14">
        <v>1026.8920032307883</v>
      </c>
      <c r="U292" s="91">
        <v>7.7934172644869388</v>
      </c>
      <c r="V292" s="12">
        <v>716.38407458308518</v>
      </c>
      <c r="W292" s="11">
        <v>37.575416348945048</v>
      </c>
      <c r="X292" s="11">
        <v>2091.6314405482426</v>
      </c>
      <c r="Y292" s="11">
        <v>64.723143102812244</v>
      </c>
      <c r="Z292" s="11">
        <v>1.553592002462314</v>
      </c>
      <c r="AA292" s="11">
        <v>0.97922114768352564</v>
      </c>
      <c r="AB292" s="13">
        <v>17.913720632164555</v>
      </c>
      <c r="AC292" s="14">
        <v>1026.8506222869219</v>
      </c>
      <c r="AD292" s="15">
        <v>4</v>
      </c>
      <c r="AE292" s="9">
        <v>1.3565605280753956</v>
      </c>
      <c r="AF292" s="9">
        <v>5.9802914303350212</v>
      </c>
      <c r="AG292" s="9">
        <v>9.2091225432607491</v>
      </c>
      <c r="AH292" s="9">
        <v>13.830547464269285</v>
      </c>
      <c r="AI292" s="9">
        <v>8.7665391456625343</v>
      </c>
      <c r="AJ292" s="9">
        <v>2.509365760897623</v>
      </c>
      <c r="AK292" s="9">
        <v>0.7488729261250574</v>
      </c>
      <c r="AL292" s="9">
        <v>1.5938838560468367</v>
      </c>
      <c r="AM292" s="9">
        <v>6.0787098804183897</v>
      </c>
      <c r="AN292" s="9">
        <v>9.1168508823252097</v>
      </c>
      <c r="AO292" s="9">
        <v>9.6425072612067204</v>
      </c>
      <c r="AP292" s="9">
        <v>6.3670164621964949</v>
      </c>
      <c r="AQ292" s="9">
        <v>6.1706887557428063</v>
      </c>
      <c r="AR292" s="9">
        <v>1.280242121374817</v>
      </c>
      <c r="AS292" s="9">
        <v>6.0478359045658019</v>
      </c>
      <c r="AT292" s="9">
        <v>9.3028428263879945</v>
      </c>
      <c r="AU292" s="9">
        <v>14.067928433275434</v>
      </c>
      <c r="AV292" s="9">
        <v>8.8424041075901787</v>
      </c>
      <c r="AW292" s="9">
        <v>2.4677848605242616</v>
      </c>
      <c r="AX292" s="9">
        <v>0.65698604984234643</v>
      </c>
      <c r="AY292" s="9">
        <v>1.5992223827530141</v>
      </c>
      <c r="AZ292" s="9">
        <v>6.138815646287946</v>
      </c>
      <c r="BA292" s="9">
        <v>9.2510599584215303</v>
      </c>
      <c r="BB292" s="9">
        <v>9.7562984456673334</v>
      </c>
      <c r="BC292" s="9">
        <v>6.3811954509612843</v>
      </c>
      <c r="BD292" s="9">
        <v>6.1807392581549285</v>
      </c>
    </row>
    <row r="293" spans="3:56" x14ac:dyDescent="0.25">
      <c r="C293" s="111">
        <v>34.195999999999998</v>
      </c>
      <c r="F293" s="111">
        <v>9.8059999999999992</v>
      </c>
      <c r="G293" s="112">
        <v>230</v>
      </c>
      <c r="J293" s="111">
        <v>2276.81</v>
      </c>
      <c r="K293" s="111">
        <v>2231.25</v>
      </c>
      <c r="L293" s="91">
        <v>7.6596532112893678</v>
      </c>
      <c r="M293" s="12">
        <v>1002.3728551653594</v>
      </c>
      <c r="N293" s="11">
        <v>44.472045894009931</v>
      </c>
      <c r="O293" s="11">
        <v>2126.876968457022</v>
      </c>
      <c r="P293" s="11">
        <v>59.900985648967556</v>
      </c>
      <c r="Q293" s="11">
        <v>1.3742205337803266</v>
      </c>
      <c r="R293" s="11">
        <v>0.87500371694994628</v>
      </c>
      <c r="S293" s="13">
        <v>18.090463852473892</v>
      </c>
      <c r="T293" s="14">
        <v>1027.3975899179065</v>
      </c>
      <c r="U293" s="91">
        <v>7.7395671256015461</v>
      </c>
      <c r="V293" s="12">
        <v>825.08575021614445</v>
      </c>
      <c r="W293" s="11">
        <v>43.216773957401827</v>
      </c>
      <c r="X293" s="11">
        <v>2129.4974533252548</v>
      </c>
      <c r="Y293" s="11">
        <v>58.535772717343228</v>
      </c>
      <c r="Z293" s="11">
        <v>1.4032829087399148</v>
      </c>
      <c r="AA293" s="11">
        <v>0.88486733430179587</v>
      </c>
      <c r="AB293" s="13">
        <v>18.425931708024347</v>
      </c>
      <c r="AC293" s="14">
        <v>1027.0379541400832</v>
      </c>
      <c r="AD293" s="15">
        <v>4</v>
      </c>
      <c r="AE293" s="9">
        <v>1.3529421879889671</v>
      </c>
      <c r="AF293" s="9">
        <v>5.9799979521146325</v>
      </c>
      <c r="AG293" s="9">
        <v>9.20996161106949</v>
      </c>
      <c r="AH293" s="9">
        <v>13.83986782207656</v>
      </c>
      <c r="AI293" s="9">
        <v>8.7658813052767659</v>
      </c>
      <c r="AJ293" s="9">
        <v>2.5038580198117026</v>
      </c>
      <c r="AK293" s="9">
        <v>0.73915850340781686</v>
      </c>
      <c r="AL293" s="9">
        <v>1.5917562856875216</v>
      </c>
      <c r="AM293" s="9">
        <v>6.0780596041099608</v>
      </c>
      <c r="AN293" s="9">
        <v>9.1225346348962422</v>
      </c>
      <c r="AO293" s="9">
        <v>9.6446999636599742</v>
      </c>
      <c r="AP293" s="9">
        <v>6.3585290750367411</v>
      </c>
      <c r="AQ293" s="9">
        <v>6.162482539375759</v>
      </c>
      <c r="AR293" s="9">
        <v>1.2808467420488874</v>
      </c>
      <c r="AS293" s="9">
        <v>6.0469423451403044</v>
      </c>
      <c r="AT293" s="9">
        <v>9.3004228948867667</v>
      </c>
      <c r="AU293" s="9">
        <v>14.066453142549925</v>
      </c>
      <c r="AV293" s="9">
        <v>8.8411256547704351</v>
      </c>
      <c r="AW293" s="9">
        <v>2.4658980348608455</v>
      </c>
      <c r="AX293" s="9">
        <v>0.65436253569684577</v>
      </c>
      <c r="AY293" s="9">
        <v>1.5986498983828501</v>
      </c>
      <c r="AZ293" s="9">
        <v>6.1377500950116177</v>
      </c>
      <c r="BA293" s="9">
        <v>9.2526442024447029</v>
      </c>
      <c r="BB293" s="9">
        <v>9.75577846228963</v>
      </c>
      <c r="BC293" s="9">
        <v>6.3776304901151466</v>
      </c>
      <c r="BD293" s="9">
        <v>6.1773634173697616</v>
      </c>
    </row>
    <row r="294" spans="3:56" x14ac:dyDescent="0.25">
      <c r="C294" s="111">
        <v>34.316699999999997</v>
      </c>
      <c r="F294" s="111">
        <v>9.0980000000000008</v>
      </c>
      <c r="G294" s="112">
        <v>320</v>
      </c>
      <c r="J294" s="111">
        <v>2285.0300000000002</v>
      </c>
      <c r="K294" s="111">
        <v>2257.9699999999998</v>
      </c>
      <c r="L294" s="91">
        <v>7.6031086871370972</v>
      </c>
      <c r="M294" s="12">
        <v>1139.234728962256</v>
      </c>
      <c r="N294" s="11">
        <v>51.715969937586109</v>
      </c>
      <c r="O294" s="11">
        <v>2154.0024109292103</v>
      </c>
      <c r="P294" s="11">
        <v>52.251619133203384</v>
      </c>
      <c r="Q294" s="11">
        <v>1.1775010135449659</v>
      </c>
      <c r="R294" s="11">
        <v>0.74984081601834884</v>
      </c>
      <c r="S294" s="13">
        <v>18.519039928322016</v>
      </c>
      <c r="T294" s="14">
        <v>1028.0180259747392</v>
      </c>
      <c r="U294" s="91">
        <v>7.6753565680807236</v>
      </c>
      <c r="V294" s="12">
        <v>968.15495672542454</v>
      </c>
      <c r="W294" s="11">
        <v>50.674479460087873</v>
      </c>
      <c r="X294" s="11">
        <v>2156.0306571066808</v>
      </c>
      <c r="Y294" s="11">
        <v>51.264863433231007</v>
      </c>
      <c r="Z294" s="11">
        <v>1.228172032733623</v>
      </c>
      <c r="AA294" s="11">
        <v>0.77461466283581348</v>
      </c>
      <c r="AB294" s="13">
        <v>18.810191840144199</v>
      </c>
      <c r="AC294" s="14">
        <v>1027.1336479237211</v>
      </c>
      <c r="AD294" s="15">
        <v>4</v>
      </c>
      <c r="AE294" s="9">
        <v>1.3429885414020892</v>
      </c>
      <c r="AF294" s="9">
        <v>5.9834871764060784</v>
      </c>
      <c r="AG294" s="9">
        <v>9.2182551196191422</v>
      </c>
      <c r="AH294" s="9">
        <v>13.867451906041238</v>
      </c>
      <c r="AI294" s="9">
        <v>8.76962466897516</v>
      </c>
      <c r="AJ294" s="9">
        <v>2.495132081463006</v>
      </c>
      <c r="AK294" s="9">
        <v>0.72174209538748602</v>
      </c>
      <c r="AL294" s="9">
        <v>1.5891976040715317</v>
      </c>
      <c r="AM294" s="9">
        <v>6.0809388293958699</v>
      </c>
      <c r="AN294" s="9">
        <v>9.13640081096848</v>
      </c>
      <c r="AO294" s="9">
        <v>9.6539203549053934</v>
      </c>
      <c r="AP294" s="9">
        <v>6.3492379374777936</v>
      </c>
      <c r="AQ294" s="9">
        <v>6.1532457244954779</v>
      </c>
      <c r="AR294" s="9">
        <v>1.2811555770694558</v>
      </c>
      <c r="AS294" s="9">
        <v>6.0464909324019205</v>
      </c>
      <c r="AT294" s="9">
        <v>9.2991916951997133</v>
      </c>
      <c r="AU294" s="9">
        <v>14.065703752937702</v>
      </c>
      <c r="AV294" s="9">
        <v>8.8404765005427191</v>
      </c>
      <c r="AW294" s="9">
        <v>2.4649366452943364</v>
      </c>
      <c r="AX294" s="9">
        <v>0.65301287795662721</v>
      </c>
      <c r="AY294" s="9">
        <v>1.5983610870861371</v>
      </c>
      <c r="AZ294" s="9">
        <v>6.1372149622229335</v>
      </c>
      <c r="BA294" s="9">
        <v>9.2534870982067652</v>
      </c>
      <c r="BB294" s="9">
        <v>9.7555159571204904</v>
      </c>
      <c r="BC294" s="9">
        <v>6.3758157992962525</v>
      </c>
      <c r="BD294" s="9">
        <v>6.1756423092304784</v>
      </c>
    </row>
    <row r="295" spans="3:56" x14ac:dyDescent="0.25">
      <c r="C295" s="111">
        <v>34.285600000000002</v>
      </c>
      <c r="F295" s="111">
        <v>7.3949999999999996</v>
      </c>
      <c r="G295" s="112">
        <v>515</v>
      </c>
      <c r="J295" s="111">
        <v>2256.7800000000002</v>
      </c>
      <c r="K295" s="111">
        <v>2206.9699999999998</v>
      </c>
      <c r="L295" s="91">
        <v>7.697148171115904</v>
      </c>
      <c r="M295" s="12">
        <v>867.29960873320681</v>
      </c>
      <c r="N295" s="11">
        <v>41.729029836651421</v>
      </c>
      <c r="O295" s="11">
        <v>2105.2349326104022</v>
      </c>
      <c r="P295" s="11">
        <v>60.006037552945891</v>
      </c>
      <c r="Q295" s="11">
        <v>1.3016071599785226</v>
      </c>
      <c r="R295" s="11">
        <v>0.8286214188414659</v>
      </c>
      <c r="S295" s="13">
        <v>18.144617016270793</v>
      </c>
      <c r="T295" s="14">
        <v>1029.1485206746249</v>
      </c>
      <c r="U295" s="91">
        <v>7.7535016435681605</v>
      </c>
      <c r="V295" s="12">
        <v>789.91840341640898</v>
      </c>
      <c r="W295" s="11">
        <v>41.352924696137471</v>
      </c>
      <c r="X295" s="11">
        <v>2105.721604696982</v>
      </c>
      <c r="Y295" s="11">
        <v>59.895470606880245</v>
      </c>
      <c r="Z295" s="11">
        <v>1.4351813946265055</v>
      </c>
      <c r="AA295" s="11">
        <v>0.90512672465140409</v>
      </c>
      <c r="AB295" s="13">
        <v>18.245522983456794</v>
      </c>
      <c r="AC295" s="14">
        <v>1027.1089907078963</v>
      </c>
      <c r="AD295" s="15">
        <v>4</v>
      </c>
      <c r="AE295" s="9">
        <v>1.3177308626028936</v>
      </c>
      <c r="AF295" s="9">
        <v>5.9942858912335293</v>
      </c>
      <c r="AG295" s="9">
        <v>9.242253789410988</v>
      </c>
      <c r="AH295" s="9">
        <v>13.937405675408895</v>
      </c>
      <c r="AI295" s="9">
        <v>8.7815512068182144</v>
      </c>
      <c r="AJ295" s="9">
        <v>2.4769763830770981</v>
      </c>
      <c r="AK295" s="9">
        <v>0.68320752979804478</v>
      </c>
      <c r="AL295" s="9">
        <v>1.584495859938887</v>
      </c>
      <c r="AM295" s="9">
        <v>6.0905494615899753</v>
      </c>
      <c r="AN295" s="9">
        <v>9.1690055855280725</v>
      </c>
      <c r="AO295" s="9">
        <v>9.6782573698323979</v>
      </c>
      <c r="AP295" s="9">
        <v>6.3330551439524791</v>
      </c>
      <c r="AQ295" s="9">
        <v>6.1369313701013342</v>
      </c>
      <c r="AR295" s="9">
        <v>1.2810760015173455</v>
      </c>
      <c r="AS295" s="9">
        <v>6.0466069211161271</v>
      </c>
      <c r="AT295" s="9">
        <v>9.2995086150085093</v>
      </c>
      <c r="AU295" s="9">
        <v>14.065896574604258</v>
      </c>
      <c r="AV295" s="9">
        <v>8.8406435144947064</v>
      </c>
      <c r="AW295" s="9">
        <v>2.4651842069691323</v>
      </c>
      <c r="AX295" s="9">
        <v>0.65336126283923612</v>
      </c>
      <c r="AY295" s="9">
        <v>1.5984352709893412</v>
      </c>
      <c r="AZ295" s="9">
        <v>6.1373522581188116</v>
      </c>
      <c r="BA295" s="9">
        <v>9.2532677471114368</v>
      </c>
      <c r="BB295" s="9">
        <v>9.7555833958007501</v>
      </c>
      <c r="BC295" s="9">
        <v>6.3762829785326129</v>
      </c>
      <c r="BD295" s="9">
        <v>6.1760855708986302</v>
      </c>
    </row>
    <row r="296" spans="3:56" x14ac:dyDescent="0.25">
      <c r="C296" s="111">
        <v>33.441499999999998</v>
      </c>
      <c r="F296" s="111">
        <v>21.166</v>
      </c>
      <c r="G296" s="112">
        <v>2</v>
      </c>
      <c r="J296" s="111">
        <v>2237.5100000000002</v>
      </c>
      <c r="K296" s="111">
        <v>1990.13</v>
      </c>
      <c r="L296" s="91">
        <v>8.0287251500224919</v>
      </c>
      <c r="M296" s="12">
        <v>401.05651556670921</v>
      </c>
      <c r="N296" s="11">
        <v>12.694210177472808</v>
      </c>
      <c r="O296" s="11">
        <v>1799.6972794627268</v>
      </c>
      <c r="P296" s="11">
        <v>177.73851035980042</v>
      </c>
      <c r="Q296" s="11">
        <v>4.3052240486382658</v>
      </c>
      <c r="R296" s="11">
        <v>2.7987644427082423</v>
      </c>
      <c r="S296" s="13">
        <v>10.565672407570698</v>
      </c>
      <c r="T296" s="14">
        <v>1023.2731255639712</v>
      </c>
      <c r="U296" s="91">
        <v>8.2833930664888626</v>
      </c>
      <c r="V296" s="12">
        <v>200.78830219115662</v>
      </c>
      <c r="W296" s="11">
        <v>10.563849471284438</v>
      </c>
      <c r="X296" s="11">
        <v>1808.7324953010127</v>
      </c>
      <c r="Y296" s="11">
        <v>170.83365522770305</v>
      </c>
      <c r="Z296" s="11">
        <v>4.1119613614187545</v>
      </c>
      <c r="AA296" s="11">
        <v>2.5891114807303794</v>
      </c>
      <c r="AB296" s="13">
        <v>10.78981968057521</v>
      </c>
      <c r="AC296" s="14">
        <v>1026.4398647187095</v>
      </c>
      <c r="AD296" s="15">
        <v>4</v>
      </c>
      <c r="AE296" s="9">
        <v>1.499599891652462</v>
      </c>
      <c r="AF296" s="9">
        <v>5.8771313745040059</v>
      </c>
      <c r="AG296" s="9">
        <v>9.0341430741809781</v>
      </c>
      <c r="AH296" s="9">
        <v>13.373820512262419</v>
      </c>
      <c r="AI296" s="9">
        <v>8.6418739378028189</v>
      </c>
      <c r="AJ296" s="9">
        <v>2.6082860994152117</v>
      </c>
      <c r="AK296" s="9">
        <v>0.95019193415246228</v>
      </c>
      <c r="AL296" s="9">
        <v>1.6058801193264207</v>
      </c>
      <c r="AM296" s="9">
        <v>5.991931331601787</v>
      </c>
      <c r="AN296" s="9">
        <v>8.8639780477460288</v>
      </c>
      <c r="AO296" s="9">
        <v>9.4460794202319995</v>
      </c>
      <c r="AP296" s="9">
        <v>6.39181039082455</v>
      </c>
      <c r="AQ296" s="9">
        <v>6.2047809810004191</v>
      </c>
      <c r="AR296" s="9">
        <v>1.2789162033329073</v>
      </c>
      <c r="AS296" s="9">
        <v>6.0498409295270346</v>
      </c>
      <c r="AT296" s="9">
        <v>9.3081939742547455</v>
      </c>
      <c r="AU296" s="9">
        <v>14.071202093798123</v>
      </c>
      <c r="AV296" s="9">
        <v>8.8452430870101502</v>
      </c>
      <c r="AW296" s="9">
        <v>2.4719445526929853</v>
      </c>
      <c r="AX296" s="9">
        <v>0.6626550177852687</v>
      </c>
      <c r="AY296" s="9">
        <v>1.6005109964800213</v>
      </c>
      <c r="AZ296" s="9">
        <v>6.1412363979808404</v>
      </c>
      <c r="BA296" s="9">
        <v>9.2478952958175409</v>
      </c>
      <c r="BB296" s="9">
        <v>9.7574672397456492</v>
      </c>
      <c r="BC296" s="9">
        <v>6.389071761042417</v>
      </c>
      <c r="BD296" s="9">
        <v>6.1881734864234197</v>
      </c>
    </row>
    <row r="297" spans="3:56" x14ac:dyDescent="0.25">
      <c r="C297" s="111">
        <v>33.313600000000001</v>
      </c>
      <c r="F297" s="111">
        <v>13.122</v>
      </c>
      <c r="G297" s="112">
        <v>30</v>
      </c>
      <c r="J297" s="111">
        <v>2223.44</v>
      </c>
      <c r="K297" s="111">
        <v>2014.84</v>
      </c>
      <c r="L297" s="91">
        <v>8.0761271087504536</v>
      </c>
      <c r="M297" s="12">
        <v>350.35639146637772</v>
      </c>
      <c r="N297" s="11">
        <v>14.038446369380765</v>
      </c>
      <c r="O297" s="11">
        <v>1851.115264642835</v>
      </c>
      <c r="P297" s="11">
        <v>149.68628898778422</v>
      </c>
      <c r="Q297" s="11">
        <v>3.5854941699534177</v>
      </c>
      <c r="R297" s="11">
        <v>2.2875876154895516</v>
      </c>
      <c r="S297" s="13">
        <v>11.671989676164833</v>
      </c>
      <c r="T297" s="14">
        <v>1025.1973926490436</v>
      </c>
      <c r="U297" s="91">
        <v>8.2065082534210472</v>
      </c>
      <c r="V297" s="12">
        <v>245.97541391200613</v>
      </c>
      <c r="W297" s="11">
        <v>12.95098362822991</v>
      </c>
      <c r="X297" s="11">
        <v>1855.5197968671043</v>
      </c>
      <c r="Y297" s="11">
        <v>146.36921950466569</v>
      </c>
      <c r="Z297" s="11">
        <v>3.5254768907797556</v>
      </c>
      <c r="AA297" s="11">
        <v>2.2192422607346813</v>
      </c>
      <c r="AB297" s="13">
        <v>11.803145631426684</v>
      </c>
      <c r="AC297" s="14">
        <v>1026.3384950404409</v>
      </c>
      <c r="AD297" s="15">
        <v>4</v>
      </c>
      <c r="AE297" s="9">
        <v>1.3971909974163588</v>
      </c>
      <c r="AF297" s="9">
        <v>5.9560126938621574</v>
      </c>
      <c r="AG297" s="9">
        <v>9.1683785493317398</v>
      </c>
      <c r="AH297" s="9">
        <v>13.707847487558329</v>
      </c>
      <c r="AI297" s="9">
        <v>8.7391070341961878</v>
      </c>
      <c r="AJ297" s="9">
        <v>2.5428690401689766</v>
      </c>
      <c r="AK297" s="9">
        <v>0.81419556646679037</v>
      </c>
      <c r="AL297" s="9">
        <v>1.5997823823238835</v>
      </c>
      <c r="AM297" s="9">
        <v>6.0588460701878191</v>
      </c>
      <c r="AN297" s="9">
        <v>9.0478279006503275</v>
      </c>
      <c r="AO297" s="9">
        <v>9.5921139955826629</v>
      </c>
      <c r="AP297" s="9">
        <v>6.3886273508502844</v>
      </c>
      <c r="AQ297" s="9">
        <v>6.1934560668822964</v>
      </c>
      <c r="AR297" s="9">
        <v>1.2785889456764807</v>
      </c>
      <c r="AS297" s="9">
        <v>6.0503454155174508</v>
      </c>
      <c r="AT297" s="9">
        <v>9.3095240886770316</v>
      </c>
      <c r="AU297" s="9">
        <v>14.072018304894291</v>
      </c>
      <c r="AV297" s="9">
        <v>8.845951324386375</v>
      </c>
      <c r="AW297" s="9">
        <v>2.4729759295784857</v>
      </c>
      <c r="AX297" s="9">
        <v>0.66403696165891057</v>
      </c>
      <c r="AY297" s="9">
        <v>1.6008361497354098</v>
      </c>
      <c r="AZ297" s="9">
        <v>6.1418518707545404</v>
      </c>
      <c r="BA297" s="9">
        <v>9.2471804919502176</v>
      </c>
      <c r="BB297" s="9">
        <v>9.7577618182078503</v>
      </c>
      <c r="BC297" s="9">
        <v>6.391028466938744</v>
      </c>
      <c r="BD297" s="9">
        <v>6.1900153087020033</v>
      </c>
    </row>
    <row r="298" spans="3:56" x14ac:dyDescent="0.25">
      <c r="C298" s="111">
        <v>33.400100000000002</v>
      </c>
      <c r="F298" s="111">
        <v>11.257</v>
      </c>
      <c r="G298" s="112">
        <v>50</v>
      </c>
      <c r="J298" s="111">
        <v>2226.65</v>
      </c>
      <c r="K298" s="111">
        <v>2106.6999999999998</v>
      </c>
      <c r="L298" s="91">
        <v>7.8853051017193598</v>
      </c>
      <c r="M298" s="12">
        <v>574.35837966432575</v>
      </c>
      <c r="N298" s="11">
        <v>24.410671351273447</v>
      </c>
      <c r="O298" s="11">
        <v>1985.7689247546805</v>
      </c>
      <c r="P298" s="11">
        <v>96.520403894045543</v>
      </c>
      <c r="Q298" s="11">
        <v>2.3007741997716153</v>
      </c>
      <c r="R298" s="11">
        <v>1.4633283220459827</v>
      </c>
      <c r="S298" s="13">
        <v>15.001415275296884</v>
      </c>
      <c r="T298" s="14">
        <v>1025.7096337069818</v>
      </c>
      <c r="U298" s="91">
        <v>7.9843300331128653</v>
      </c>
      <c r="V298" s="12">
        <v>439.72452720235066</v>
      </c>
      <c r="W298" s="11">
        <v>23.140376323229724</v>
      </c>
      <c r="X298" s="11">
        <v>1989.2833170876852</v>
      </c>
      <c r="Y298" s="11">
        <v>94.276306589084612</v>
      </c>
      <c r="Z298" s="11">
        <v>2.2697236135584649</v>
      </c>
      <c r="AA298" s="11">
        <v>1.4290182145708628</v>
      </c>
      <c r="AB298" s="13">
        <v>15.238075213652523</v>
      </c>
      <c r="AC298" s="14">
        <v>1026.4070518198287</v>
      </c>
      <c r="AD298" s="15">
        <v>4</v>
      </c>
      <c r="AE298" s="9">
        <v>1.3716032379281653</v>
      </c>
      <c r="AF298" s="9">
        <v>5.9749561152775961</v>
      </c>
      <c r="AG298" s="9">
        <v>9.198614681303658</v>
      </c>
      <c r="AH298" s="9">
        <v>13.787537355112988</v>
      </c>
      <c r="AI298" s="9">
        <v>8.7610972722782421</v>
      </c>
      <c r="AJ298" s="9">
        <v>2.5259845254573605</v>
      </c>
      <c r="AK298" s="9">
        <v>0.77930728161701113</v>
      </c>
      <c r="AL298" s="9">
        <v>1.5985284831844084</v>
      </c>
      <c r="AM298" s="9">
        <v>6.0750815247725933</v>
      </c>
      <c r="AN298" s="9">
        <v>9.0917196749570195</v>
      </c>
      <c r="AO298" s="9">
        <v>9.6271095203406976</v>
      </c>
      <c r="AP298" s="9">
        <v>6.3853890195315124</v>
      </c>
      <c r="AQ298" s="9">
        <v>6.1888567991044683</v>
      </c>
      <c r="AR298" s="9">
        <v>1.2788102731767228</v>
      </c>
      <c r="AS298" s="9">
        <v>6.0500038100710949</v>
      </c>
      <c r="AT298" s="9">
        <v>9.3086241135255285</v>
      </c>
      <c r="AU298" s="9">
        <v>14.071465934298791</v>
      </c>
      <c r="AV298" s="9">
        <v>8.8454720086097129</v>
      </c>
      <c r="AW298" s="9">
        <v>2.4722781940770822</v>
      </c>
      <c r="AX298" s="9">
        <v>0.66310307117606027</v>
      </c>
      <c r="AY298" s="9">
        <v>1.6006159350788987</v>
      </c>
      <c r="AZ298" s="9">
        <v>6.1414348343496439</v>
      </c>
      <c r="BA298" s="9">
        <v>9.2476610241448736</v>
      </c>
      <c r="BB298" s="9">
        <v>9.7575623252791406</v>
      </c>
      <c r="BC298" s="9">
        <v>6.3897045673054187</v>
      </c>
      <c r="BD298" s="9">
        <v>6.1887693557884402</v>
      </c>
    </row>
    <row r="299" spans="3:56" x14ac:dyDescent="0.25">
      <c r="C299" s="111">
        <v>33.762700000000002</v>
      </c>
      <c r="F299" s="111">
        <v>10.379</v>
      </c>
      <c r="G299" s="112">
        <v>100</v>
      </c>
      <c r="J299" s="111">
        <v>2240.9699999999998</v>
      </c>
      <c r="K299" s="111">
        <v>2164.58</v>
      </c>
      <c r="L299" s="91">
        <v>7.7619553427201673</v>
      </c>
      <c r="M299" s="12">
        <v>780.50980938984765</v>
      </c>
      <c r="N299" s="11">
        <v>34.064821069668966</v>
      </c>
      <c r="O299" s="11">
        <v>2056.934824534309</v>
      </c>
      <c r="P299" s="11">
        <v>73.58035439602159</v>
      </c>
      <c r="Q299" s="11">
        <v>1.7337888812714026</v>
      </c>
      <c r="R299" s="11">
        <v>1.1024405401403057</v>
      </c>
      <c r="S299" s="13">
        <v>16.954547934640189</v>
      </c>
      <c r="T299" s="14">
        <v>1026.3737314100031</v>
      </c>
      <c r="U299" s="91">
        <v>7.8472184306592894</v>
      </c>
      <c r="V299" s="12">
        <v>623.70638564634964</v>
      </c>
      <c r="W299" s="11">
        <v>32.752324853993791</v>
      </c>
      <c r="X299" s="11">
        <v>2060.0121639913855</v>
      </c>
      <c r="Y299" s="11">
        <v>71.815511154620395</v>
      </c>
      <c r="Z299" s="11">
        <v>1.7256536818459556</v>
      </c>
      <c r="AA299" s="11">
        <v>1.0872609976377203</v>
      </c>
      <c r="AB299" s="13">
        <v>17.265644646023194</v>
      </c>
      <c r="AC299" s="14">
        <v>1026.6944587278097</v>
      </c>
      <c r="AD299" s="15">
        <v>4</v>
      </c>
      <c r="AE299" s="9">
        <v>1.3600722535261249</v>
      </c>
      <c r="AF299" s="9">
        <v>5.9810409238294948</v>
      </c>
      <c r="AG299" s="9">
        <v>9.2084139984411841</v>
      </c>
      <c r="AH299" s="9">
        <v>13.821935863638339</v>
      </c>
      <c r="AI299" s="9">
        <v>8.7676715567983479</v>
      </c>
      <c r="AJ299" s="9">
        <v>2.5146324542063243</v>
      </c>
      <c r="AK299" s="9">
        <v>0.75821383367985085</v>
      </c>
      <c r="AL299" s="9">
        <v>1.5961621007635451</v>
      </c>
      <c r="AM299" s="9">
        <v>6.0797284543998025</v>
      </c>
      <c r="AN299" s="9">
        <v>9.1122527116630891</v>
      </c>
      <c r="AO299" s="9">
        <v>9.641017289699283</v>
      </c>
      <c r="AP299" s="9">
        <v>6.3756790869339772</v>
      </c>
      <c r="AQ299" s="9">
        <v>6.1790380486305603</v>
      </c>
      <c r="AR299" s="9">
        <v>1.2797380575881396</v>
      </c>
      <c r="AS299" s="9">
        <v>6.0485907787442565</v>
      </c>
      <c r="AT299" s="9">
        <v>9.304869959504849</v>
      </c>
      <c r="AU299" s="9">
        <v>14.069166702930627</v>
      </c>
      <c r="AV299" s="9">
        <v>8.8434776351908226</v>
      </c>
      <c r="AW299" s="9">
        <v>2.4693626448912545</v>
      </c>
      <c r="AX299" s="9">
        <v>0.65915460924759406</v>
      </c>
      <c r="AY299" s="9">
        <v>1.5997068622543862</v>
      </c>
      <c r="AZ299" s="9">
        <v>6.1397222386962076</v>
      </c>
      <c r="BA299" s="9">
        <v>9.2498064558686579</v>
      </c>
      <c r="BB299" s="9">
        <v>9.7567381367802977</v>
      </c>
      <c r="BC299" s="9">
        <v>6.3841801351132315</v>
      </c>
      <c r="BD299" s="9">
        <v>6.1835603019680718</v>
      </c>
    </row>
    <row r="300" spans="3:56" x14ac:dyDescent="0.25">
      <c r="C300" s="111">
        <v>34.039000000000001</v>
      </c>
      <c r="F300" s="111">
        <v>10.167999999999999</v>
      </c>
      <c r="G300" s="112">
        <v>170</v>
      </c>
      <c r="J300" s="111">
        <v>2257.7399999999998</v>
      </c>
      <c r="K300" s="111">
        <v>2202.9699999999998</v>
      </c>
      <c r="L300" s="91">
        <v>7.6891917650706043</v>
      </c>
      <c r="M300" s="12">
        <v>932.52109485912786</v>
      </c>
      <c r="N300" s="11">
        <v>40.917762984492796</v>
      </c>
      <c r="O300" s="11">
        <v>2098.3797756901449</v>
      </c>
      <c r="P300" s="11">
        <v>63.672461325362079</v>
      </c>
      <c r="Q300" s="11">
        <v>1.4786284576529085</v>
      </c>
      <c r="R300" s="11">
        <v>0.94112172913452941</v>
      </c>
      <c r="S300" s="13">
        <v>17.774444220260204</v>
      </c>
      <c r="T300" s="14">
        <v>1026.9418126970013</v>
      </c>
      <c r="U300" s="91">
        <v>7.7726212933723531</v>
      </c>
      <c r="V300" s="12">
        <v>754.82464603477501</v>
      </c>
      <c r="W300" s="11">
        <v>39.573188685067414</v>
      </c>
      <c r="X300" s="11">
        <v>2101.2985078926981</v>
      </c>
      <c r="Y300" s="11">
        <v>62.098303422234331</v>
      </c>
      <c r="Z300" s="11">
        <v>1.4899505976793859</v>
      </c>
      <c r="AA300" s="11">
        <v>0.93924742798380267</v>
      </c>
      <c r="AB300" s="13">
        <v>18.123896989840052</v>
      </c>
      <c r="AC300" s="14">
        <v>1026.9134872375446</v>
      </c>
      <c r="AD300" s="15">
        <v>4</v>
      </c>
      <c r="AE300" s="9">
        <v>1.3577467825364355</v>
      </c>
      <c r="AF300" s="9">
        <v>5.9792195555946845</v>
      </c>
      <c r="AG300" s="9">
        <v>9.2071242186226456</v>
      </c>
      <c r="AH300" s="9">
        <v>13.826962802886674</v>
      </c>
      <c r="AI300" s="9">
        <v>8.7652201237050598</v>
      </c>
      <c r="AJ300" s="9">
        <v>2.509325813113926</v>
      </c>
      <c r="AK300" s="9">
        <v>0.74937799068024902</v>
      </c>
      <c r="AL300" s="9">
        <v>1.5936744040013282</v>
      </c>
      <c r="AM300" s="9">
        <v>6.0776421623319825</v>
      </c>
      <c r="AN300" s="9">
        <v>9.1155997462440492</v>
      </c>
      <c r="AO300" s="9">
        <v>9.6409554273128553</v>
      </c>
      <c r="AP300" s="9">
        <v>6.3658125477170859</v>
      </c>
      <c r="AQ300" s="9">
        <v>6.1695992881147816</v>
      </c>
      <c r="AR300" s="9">
        <v>1.2804450262392006</v>
      </c>
      <c r="AS300" s="9">
        <v>6.0475345870227519</v>
      </c>
      <c r="AT300" s="9">
        <v>9.3020293104542144</v>
      </c>
      <c r="AU300" s="9">
        <v>14.067432128397762</v>
      </c>
      <c r="AV300" s="9">
        <v>8.8419739508193036</v>
      </c>
      <c r="AW300" s="9">
        <v>2.4671509680947659</v>
      </c>
      <c r="AX300" s="9">
        <v>0.65610836761536417</v>
      </c>
      <c r="AY300" s="9">
        <v>1.5990292155790333</v>
      </c>
      <c r="AZ300" s="9">
        <v>6.1384554054881528</v>
      </c>
      <c r="BA300" s="9">
        <v>9.2515818452165899</v>
      </c>
      <c r="BB300" s="9">
        <v>9.7561230454462127</v>
      </c>
      <c r="BC300" s="9">
        <v>6.3799972593382765</v>
      </c>
      <c r="BD300" s="9">
        <v>6.1796054050715732</v>
      </c>
    </row>
    <row r="301" spans="3:56" x14ac:dyDescent="0.25">
      <c r="C301" s="111">
        <v>34.246200000000002</v>
      </c>
      <c r="F301" s="111">
        <v>9.9589999999999996</v>
      </c>
      <c r="G301" s="112">
        <v>230</v>
      </c>
      <c r="J301" s="111">
        <v>2277.66</v>
      </c>
      <c r="K301" s="111">
        <v>2235.86</v>
      </c>
      <c r="L301" s="91">
        <v>7.6444973827327312</v>
      </c>
      <c r="M301" s="12">
        <v>1041.2535047634228</v>
      </c>
      <c r="N301" s="11">
        <v>45.950319189229425</v>
      </c>
      <c r="O301" s="11">
        <v>2131.5159462898437</v>
      </c>
      <c r="P301" s="11">
        <v>58.393734520926827</v>
      </c>
      <c r="Q301" s="11">
        <v>1.3393637880267606</v>
      </c>
      <c r="R301" s="11">
        <v>0.85310442437665801</v>
      </c>
      <c r="S301" s="13">
        <v>18.164535055234101</v>
      </c>
      <c r="T301" s="14">
        <v>1027.4102764727425</v>
      </c>
      <c r="U301" s="91">
        <v>7.7263519123713804</v>
      </c>
      <c r="V301" s="12">
        <v>852.36037277682226</v>
      </c>
      <c r="W301" s="11">
        <v>44.632176094432516</v>
      </c>
      <c r="X301" s="11">
        <v>2134.2524387818767</v>
      </c>
      <c r="Y301" s="11">
        <v>56.975385123690756</v>
      </c>
      <c r="Z301" s="11">
        <v>1.3655040020354476</v>
      </c>
      <c r="AA301" s="11">
        <v>0.86112277236432921</v>
      </c>
      <c r="AB301" s="13">
        <v>18.520181271748339</v>
      </c>
      <c r="AC301" s="14">
        <v>1027.0777533561477</v>
      </c>
      <c r="AD301" s="15">
        <v>4</v>
      </c>
      <c r="AE301" s="9">
        <v>1.3552679436973842</v>
      </c>
      <c r="AF301" s="9">
        <v>5.9780973292101836</v>
      </c>
      <c r="AG301" s="9">
        <v>9.2068197177019382</v>
      </c>
      <c r="AH301" s="9">
        <v>13.832746535547269</v>
      </c>
      <c r="AI301" s="9">
        <v>8.7636500766314942</v>
      </c>
      <c r="AJ301" s="9">
        <v>2.5047774493713311</v>
      </c>
      <c r="AK301" s="9">
        <v>0.7415169344136866</v>
      </c>
      <c r="AL301" s="9">
        <v>1.5916324537692308</v>
      </c>
      <c r="AM301" s="9">
        <v>6.0763085383599718</v>
      </c>
      <c r="AN301" s="9">
        <v>9.1190979515970767</v>
      </c>
      <c r="AO301" s="9">
        <v>9.6415401696336289</v>
      </c>
      <c r="AP301" s="9">
        <v>6.3578018316585529</v>
      </c>
      <c r="AQ301" s="9">
        <v>6.1619054730914264</v>
      </c>
      <c r="AR301" s="9">
        <v>1.2809751887600103</v>
      </c>
      <c r="AS301" s="9">
        <v>6.0467541879117386</v>
      </c>
      <c r="AT301" s="9">
        <v>9.2999104292628783</v>
      </c>
      <c r="AU301" s="9">
        <v>14.066141124444989</v>
      </c>
      <c r="AV301" s="9">
        <v>8.8408553498864979</v>
      </c>
      <c r="AW301" s="9">
        <v>2.4654979910033186</v>
      </c>
      <c r="AX301" s="9">
        <v>0.65380199878237988</v>
      </c>
      <c r="AY301" s="9">
        <v>1.5985294845243709</v>
      </c>
      <c r="AZ301" s="9">
        <v>6.137526781744528</v>
      </c>
      <c r="BA301" s="9">
        <v>9.2529920144096849</v>
      </c>
      <c r="BB301" s="9">
        <v>9.755669031156172</v>
      </c>
      <c r="BC301" s="9">
        <v>6.3768752377046365</v>
      </c>
      <c r="BD301" s="9">
        <v>6.1766473346782504</v>
      </c>
    </row>
    <row r="302" spans="3:56" x14ac:dyDescent="0.25">
      <c r="C302" s="111">
        <v>34.318399999999997</v>
      </c>
      <c r="F302" s="111">
        <v>9.4789999999999992</v>
      </c>
      <c r="G302" s="112">
        <v>320</v>
      </c>
      <c r="J302" s="111">
        <v>2283.44</v>
      </c>
      <c r="K302" s="111">
        <v>2252.37</v>
      </c>
      <c r="L302" s="91">
        <v>7.6111928028755829</v>
      </c>
      <c r="M302" s="12">
        <v>1118.4619612054971</v>
      </c>
      <c r="N302" s="11">
        <v>50.12959053378934</v>
      </c>
      <c r="O302" s="11">
        <v>2148.3364172643523</v>
      </c>
      <c r="P302" s="11">
        <v>53.90399220185806</v>
      </c>
      <c r="Q302" s="11">
        <v>1.2150916227790332</v>
      </c>
      <c r="R302" s="11">
        <v>0.77425882076192443</v>
      </c>
      <c r="S302" s="13">
        <v>18.426546520637089</v>
      </c>
      <c r="T302" s="14">
        <v>1027.9550524988863</v>
      </c>
      <c r="U302" s="91">
        <v>7.6890694190929203</v>
      </c>
      <c r="V302" s="12">
        <v>935.70290223173185</v>
      </c>
      <c r="W302" s="11">
        <v>48.97540653286871</v>
      </c>
      <c r="X302" s="11">
        <v>2150.615987965788</v>
      </c>
      <c r="Y302" s="11">
        <v>52.77860550134293</v>
      </c>
      <c r="Z302" s="11">
        <v>1.2644256425983551</v>
      </c>
      <c r="AA302" s="11">
        <v>0.79748240181479213</v>
      </c>
      <c r="AB302" s="13">
        <v>18.746388095429065</v>
      </c>
      <c r="AC302" s="14">
        <v>1027.1349957539887</v>
      </c>
      <c r="AD302" s="15">
        <v>4</v>
      </c>
      <c r="AE302" s="9">
        <v>1.3485270611226947</v>
      </c>
      <c r="AF302" s="9">
        <v>5.9791846697202136</v>
      </c>
      <c r="AG302" s="9">
        <v>9.2116741624654601</v>
      </c>
      <c r="AH302" s="9">
        <v>13.850448968570056</v>
      </c>
      <c r="AI302" s="9">
        <v>8.7647306495269461</v>
      </c>
      <c r="AJ302" s="9">
        <v>2.498418754914618</v>
      </c>
      <c r="AK302" s="9">
        <v>0.72890558123620997</v>
      </c>
      <c r="AL302" s="9">
        <v>1.5892032707790782</v>
      </c>
      <c r="AM302" s="9">
        <v>6.077131605472327</v>
      </c>
      <c r="AN302" s="9">
        <v>9.1271009793479063</v>
      </c>
      <c r="AO302" s="9">
        <v>9.6462856978915177</v>
      </c>
      <c r="AP302" s="9">
        <v>6.3493429825438303</v>
      </c>
      <c r="AQ302" s="9">
        <v>6.1536201175971534</v>
      </c>
      <c r="AR302" s="9">
        <v>1.2811599268584777</v>
      </c>
      <c r="AS302" s="9">
        <v>6.0464845986644669</v>
      </c>
      <c r="AT302" s="9">
        <v>9.2991743779232507</v>
      </c>
      <c r="AU302" s="9">
        <v>14.065693218215392</v>
      </c>
      <c r="AV302" s="9">
        <v>8.8404673761497499</v>
      </c>
      <c r="AW302" s="9">
        <v>2.4649231160490057</v>
      </c>
      <c r="AX302" s="9">
        <v>0.65299382180735499</v>
      </c>
      <c r="AY302" s="9">
        <v>1.5983570366568516</v>
      </c>
      <c r="AZ302" s="9">
        <v>6.1372074690548608</v>
      </c>
      <c r="BA302" s="9">
        <v>9.2534991317548698</v>
      </c>
      <c r="BB302" s="9">
        <v>9.7555122747435981</v>
      </c>
      <c r="BC302" s="9">
        <v>6.3757902701515947</v>
      </c>
      <c r="BD302" s="9">
        <v>6.1756180835685548</v>
      </c>
    </row>
    <row r="303" spans="3:56" x14ac:dyDescent="0.25">
      <c r="C303" s="111">
        <v>34.346699999999998</v>
      </c>
      <c r="F303" s="111">
        <v>7.6360000000000001</v>
      </c>
      <c r="G303" s="112">
        <v>516</v>
      </c>
      <c r="J303" s="111">
        <v>2297.56</v>
      </c>
      <c r="K303" s="111">
        <v>2275.4699999999998</v>
      </c>
      <c r="L303" s="91">
        <v>7.598870069193647</v>
      </c>
      <c r="M303" s="12">
        <v>1123.8226793435629</v>
      </c>
      <c r="N303" s="11">
        <v>53.604958337867004</v>
      </c>
      <c r="O303" s="11">
        <v>2171.9420849885655</v>
      </c>
      <c r="P303" s="11">
        <v>49.922956673567192</v>
      </c>
      <c r="Q303" s="11">
        <v>1.0826183651089605</v>
      </c>
      <c r="R303" s="11">
        <v>0.68953139529984342</v>
      </c>
      <c r="S303" s="13">
        <v>18.742318024702577</v>
      </c>
      <c r="T303" s="14">
        <v>1029.1636736497501</v>
      </c>
      <c r="U303" s="91">
        <v>7.6580950229047993</v>
      </c>
      <c r="V303" s="12">
        <v>1015.1013793712131</v>
      </c>
      <c r="W303" s="11">
        <v>53.122325655819125</v>
      </c>
      <c r="X303" s="11">
        <v>2172.6653765005517</v>
      </c>
      <c r="Y303" s="11">
        <v>49.682297843628433</v>
      </c>
      <c r="Z303" s="11">
        <v>1.1900636187404174</v>
      </c>
      <c r="AA303" s="11">
        <v>0.75061913555393756</v>
      </c>
      <c r="AB303" s="13">
        <v>18.879100083207589</v>
      </c>
      <c r="AC303" s="14">
        <v>1027.1574332883879</v>
      </c>
      <c r="AD303" s="15">
        <v>4</v>
      </c>
      <c r="AE303" s="9">
        <v>1.3214928293307471</v>
      </c>
      <c r="AF303" s="9">
        <v>5.9912267914317541</v>
      </c>
      <c r="AG303" s="9">
        <v>9.2374180113584057</v>
      </c>
      <c r="AH303" s="9">
        <v>13.926067703780703</v>
      </c>
      <c r="AI303" s="9">
        <v>8.7780491545143828</v>
      </c>
      <c r="AJ303" s="9">
        <v>2.4785873135790872</v>
      </c>
      <c r="AK303" s="9">
        <v>0.68718243342437457</v>
      </c>
      <c r="AL303" s="9">
        <v>1.5842942512360552</v>
      </c>
      <c r="AM303" s="9">
        <v>6.0877486737101565</v>
      </c>
      <c r="AN303" s="9">
        <v>9.1634133373901498</v>
      </c>
      <c r="AO303" s="9">
        <v>9.6731579157757075</v>
      </c>
      <c r="AP303" s="9">
        <v>6.3321719933453346</v>
      </c>
      <c r="AQ303" s="9">
        <v>6.1362506483072758</v>
      </c>
      <c r="AR303" s="9">
        <v>1.2812323380521984</v>
      </c>
      <c r="AS303" s="9">
        <v>6.0463792592516512</v>
      </c>
      <c r="AT303" s="9">
        <v>9.298886192343442</v>
      </c>
      <c r="AU303" s="9">
        <v>14.06551792774567</v>
      </c>
      <c r="AV303" s="9">
        <v>8.8403155577400909</v>
      </c>
      <c r="AW303" s="9">
        <v>2.4646979405284406</v>
      </c>
      <c r="AX303" s="9">
        <v>0.65267640068208943</v>
      </c>
      <c r="AY303" s="9">
        <v>1.5982896794984551</v>
      </c>
      <c r="AZ303" s="9">
        <v>6.1370829086258105</v>
      </c>
      <c r="BA303" s="9">
        <v>9.2537001135642747</v>
      </c>
      <c r="BB303" s="9">
        <v>9.75545103457066</v>
      </c>
      <c r="BC303" s="9">
        <v>6.3753654063020111</v>
      </c>
      <c r="BD303" s="9">
        <v>6.1752148593570615</v>
      </c>
    </row>
    <row r="304" spans="3:56" x14ac:dyDescent="0.25">
      <c r="C304" s="111">
        <v>33.430300000000003</v>
      </c>
      <c r="F304" s="111">
        <v>17.885999999999999</v>
      </c>
      <c r="G304" s="112">
        <v>3</v>
      </c>
      <c r="J304" s="111">
        <v>2239.2800000000002</v>
      </c>
      <c r="K304" s="111">
        <v>2004.16</v>
      </c>
      <c r="L304" s="91">
        <v>8.0546589498973375</v>
      </c>
      <c r="M304" s="12">
        <v>374.8451199029123</v>
      </c>
      <c r="N304" s="11">
        <v>13.006322096217946</v>
      </c>
      <c r="O304" s="11">
        <v>1822.4381040020392</v>
      </c>
      <c r="P304" s="11">
        <v>168.71557390174291</v>
      </c>
      <c r="Q304" s="11">
        <v>4.0707439218501724</v>
      </c>
      <c r="R304" s="11">
        <v>2.6243135568034481</v>
      </c>
      <c r="S304" s="13">
        <v>10.918578796663754</v>
      </c>
      <c r="T304" s="14">
        <v>1024.1121997105931</v>
      </c>
      <c r="U304" s="91">
        <v>8.2586795769078147</v>
      </c>
      <c r="V304" s="12">
        <v>215.01013029762345</v>
      </c>
      <c r="W304" s="11">
        <v>11.312833009282974</v>
      </c>
      <c r="X304" s="11">
        <v>1829.6414853285225</v>
      </c>
      <c r="Y304" s="11">
        <v>163.20568166219459</v>
      </c>
      <c r="Z304" s="11">
        <v>3.9285884129125255</v>
      </c>
      <c r="AA304" s="11">
        <v>2.473593253739327</v>
      </c>
      <c r="AB304" s="13">
        <v>11.103709537090934</v>
      </c>
      <c r="AC304" s="14">
        <v>1026.4309877510732</v>
      </c>
      <c r="AD304" s="15">
        <v>4</v>
      </c>
      <c r="AE304" s="9">
        <v>1.4596973562231328</v>
      </c>
      <c r="AF304" s="9">
        <v>5.9081606676565679</v>
      </c>
      <c r="AG304" s="9">
        <v>9.0881565635037287</v>
      </c>
      <c r="AH304" s="9">
        <v>13.507160395137992</v>
      </c>
      <c r="AI304" s="9">
        <v>8.6811904826838227</v>
      </c>
      <c r="AJ304" s="9">
        <v>2.5819127329888909</v>
      </c>
      <c r="AK304" s="9">
        <v>0.89625376259429257</v>
      </c>
      <c r="AL304" s="9">
        <v>1.6028205427932245</v>
      </c>
      <c r="AM304" s="9">
        <v>6.0178339735488668</v>
      </c>
      <c r="AN304" s="9">
        <v>8.9383329019707869</v>
      </c>
      <c r="AO304" s="9">
        <v>9.5043002268874499</v>
      </c>
      <c r="AP304" s="9">
        <v>6.3902602541182079</v>
      </c>
      <c r="AQ304" s="9">
        <v>6.1996021949684108</v>
      </c>
      <c r="AR304" s="9">
        <v>1.2788875458993503</v>
      </c>
      <c r="AS304" s="9">
        <v>6.0498849544708895</v>
      </c>
      <c r="AT304" s="9">
        <v>9.3083103020910833</v>
      </c>
      <c r="AU304" s="9">
        <v>14.071273437072419</v>
      </c>
      <c r="AV304" s="9">
        <v>8.8453049865408193</v>
      </c>
      <c r="AW304" s="9">
        <v>2.4720347937994522</v>
      </c>
      <c r="AX304" s="9">
        <v>0.66277629969989549</v>
      </c>
      <c r="AY304" s="9">
        <v>1.600539356401276</v>
      </c>
      <c r="AZ304" s="9">
        <v>6.141290007117032</v>
      </c>
      <c r="BA304" s="9">
        <v>9.2478316448696241</v>
      </c>
      <c r="BB304" s="9">
        <v>9.7574929382248907</v>
      </c>
      <c r="BC304" s="9">
        <v>6.389242902253967</v>
      </c>
      <c r="BD304" s="9">
        <v>6.188334658645684</v>
      </c>
    </row>
    <row r="305" spans="3:56" x14ac:dyDescent="0.25">
      <c r="C305" s="111">
        <v>33.400700000000001</v>
      </c>
      <c r="F305" s="111">
        <v>15.026</v>
      </c>
      <c r="G305" s="112">
        <v>30</v>
      </c>
      <c r="J305" s="111">
        <v>2234.29</v>
      </c>
      <c r="K305" s="111">
        <v>2032.69</v>
      </c>
      <c r="L305" s="91">
        <v>8.028848725126517</v>
      </c>
      <c r="M305" s="12">
        <v>399.88151201834893</v>
      </c>
      <c r="N305" s="11">
        <v>15.10194035090568</v>
      </c>
      <c r="O305" s="11">
        <v>1871.1703020858931</v>
      </c>
      <c r="P305" s="11">
        <v>146.41775756320098</v>
      </c>
      <c r="Q305" s="11">
        <v>3.5092552481738086</v>
      </c>
      <c r="R305" s="11">
        <v>2.24819420777759</v>
      </c>
      <c r="S305" s="13">
        <v>11.873153855262384</v>
      </c>
      <c r="T305" s="14">
        <v>1024.867676024327</v>
      </c>
      <c r="U305" s="91">
        <v>8.1884907707525905</v>
      </c>
      <c r="V305" s="12">
        <v>259.25253356889391</v>
      </c>
      <c r="W305" s="11">
        <v>13.643041521293299</v>
      </c>
      <c r="X305" s="11">
        <v>1876.7245059824422</v>
      </c>
      <c r="Y305" s="11">
        <v>142.32245249626433</v>
      </c>
      <c r="Z305" s="11">
        <v>3.4264347148041678</v>
      </c>
      <c r="AA305" s="11">
        <v>2.1572863074258044</v>
      </c>
      <c r="AB305" s="13">
        <v>12.052328982893441</v>
      </c>
      <c r="AC305" s="14">
        <v>1026.4075273656056</v>
      </c>
      <c r="AD305" s="15">
        <v>4</v>
      </c>
      <c r="AE305" s="9">
        <v>1.4228985750039813</v>
      </c>
      <c r="AF305" s="9">
        <v>5.9357681596656473</v>
      </c>
      <c r="AG305" s="9">
        <v>9.1353682899587536</v>
      </c>
      <c r="AH305" s="9">
        <v>13.625955143970314</v>
      </c>
      <c r="AI305" s="9">
        <v>8.7149594540959079</v>
      </c>
      <c r="AJ305" s="9">
        <v>2.5581056119292565</v>
      </c>
      <c r="AK305" s="9">
        <v>0.84684600001525889</v>
      </c>
      <c r="AL305" s="9">
        <v>1.6003863790345261</v>
      </c>
      <c r="AM305" s="9">
        <v>6.0412756846454654</v>
      </c>
      <c r="AN305" s="9">
        <v>9.0033222233893273</v>
      </c>
      <c r="AO305" s="9">
        <v>9.5557637257368739</v>
      </c>
      <c r="AP305" s="9">
        <v>6.3877475566967163</v>
      </c>
      <c r="AQ305" s="9">
        <v>6.1943664231821698</v>
      </c>
      <c r="AR305" s="9">
        <v>1.2788118083963775</v>
      </c>
      <c r="AS305" s="9">
        <v>6.0500014466349503</v>
      </c>
      <c r="AT305" s="9">
        <v>9.3086178768479453</v>
      </c>
      <c r="AU305" s="9">
        <v>14.071462108071294</v>
      </c>
      <c r="AV305" s="9">
        <v>8.8454686886646989</v>
      </c>
      <c r="AW305" s="9">
        <v>2.4722733572925519</v>
      </c>
      <c r="AX305" s="9">
        <v>0.66309658266587435</v>
      </c>
      <c r="AY305" s="9">
        <v>1.6006144121106634</v>
      </c>
      <c r="AZ305" s="9">
        <v>6.1414319530925381</v>
      </c>
      <c r="BA305" s="9">
        <v>9.247664399611935</v>
      </c>
      <c r="BB305" s="9">
        <v>9.7575609454073611</v>
      </c>
      <c r="BC305" s="9">
        <v>6.3896953923785276</v>
      </c>
      <c r="BD305" s="9">
        <v>6.1887607178869679</v>
      </c>
    </row>
    <row r="306" spans="3:56" x14ac:dyDescent="0.25">
      <c r="C306" s="111">
        <v>33.375300000000003</v>
      </c>
      <c r="F306" s="111">
        <v>10.804</v>
      </c>
      <c r="G306" s="112">
        <v>50</v>
      </c>
      <c r="J306" s="111">
        <v>2222.36</v>
      </c>
      <c r="K306" s="111">
        <v>2112.1799999999998</v>
      </c>
      <c r="L306" s="91">
        <v>7.8651426889175804</v>
      </c>
      <c r="M306" s="12">
        <v>602.64921084872378</v>
      </c>
      <c r="N306" s="11">
        <v>25.996549596173516</v>
      </c>
      <c r="O306" s="11">
        <v>1995.290882864452</v>
      </c>
      <c r="P306" s="11">
        <v>90.89256753937407</v>
      </c>
      <c r="Q306" s="11">
        <v>2.1666390975822072</v>
      </c>
      <c r="R306" s="11">
        <v>1.3768263683373196</v>
      </c>
      <c r="S306" s="13">
        <v>15.442740787469706</v>
      </c>
      <c r="T306" s="14">
        <v>1025.7715421915873</v>
      </c>
      <c r="U306" s="91">
        <v>7.9568133229926854</v>
      </c>
      <c r="V306" s="12">
        <v>470.70813025858081</v>
      </c>
      <c r="W306" s="11">
        <v>24.774499084515067</v>
      </c>
      <c r="X306" s="11">
        <v>1998.557432907153</v>
      </c>
      <c r="Y306" s="11">
        <v>88.848068008331424</v>
      </c>
      <c r="Z306" s="11">
        <v>2.139317010082685</v>
      </c>
      <c r="AA306" s="11">
        <v>1.3468452278354732</v>
      </c>
      <c r="AB306" s="13">
        <v>15.684181693026751</v>
      </c>
      <c r="AC306" s="14">
        <v>1026.3873960172562</v>
      </c>
      <c r="AD306" s="15">
        <v>4</v>
      </c>
      <c r="AE306" s="9">
        <v>1.3651488823381484</v>
      </c>
      <c r="AF306" s="9">
        <v>5.9800521806563607</v>
      </c>
      <c r="AG306" s="9">
        <v>9.2066205354665183</v>
      </c>
      <c r="AH306" s="9">
        <v>13.807588877068804</v>
      </c>
      <c r="AI306" s="9">
        <v>8.7669985743351102</v>
      </c>
      <c r="AJ306" s="9">
        <v>2.5223103861506408</v>
      </c>
      <c r="AK306" s="9">
        <v>0.77129498368052662</v>
      </c>
      <c r="AL306" s="9">
        <v>1.598523341729619</v>
      </c>
      <c r="AM306" s="9">
        <v>6.0795703328336597</v>
      </c>
      <c r="AN306" s="9">
        <v>9.1025044021495507</v>
      </c>
      <c r="AO306" s="9">
        <v>9.6360915303405879</v>
      </c>
      <c r="AP306" s="9">
        <v>6.3857149446540404</v>
      </c>
      <c r="AQ306" s="9">
        <v>6.1888075436175223</v>
      </c>
      <c r="AR306" s="9">
        <v>1.2787468174309884</v>
      </c>
      <c r="AS306" s="9">
        <v>6.0501015720659135</v>
      </c>
      <c r="AT306" s="9">
        <v>9.3088819676101071</v>
      </c>
      <c r="AU306" s="9">
        <v>14.071624148195987</v>
      </c>
      <c r="AV306" s="9">
        <v>8.8456092906909269</v>
      </c>
      <c r="AW306" s="9">
        <v>2.4724781506217712</v>
      </c>
      <c r="AX306" s="9">
        <v>0.66337113416173388</v>
      </c>
      <c r="AY306" s="9">
        <v>1.6006789390122218</v>
      </c>
      <c r="AZ306" s="9">
        <v>6.1415540645687576</v>
      </c>
      <c r="BA306" s="9">
        <v>9.24752201418368</v>
      </c>
      <c r="BB306" s="9">
        <v>9.7576194068738324</v>
      </c>
      <c r="BC306" s="9">
        <v>6.3900838961639925</v>
      </c>
      <c r="BD306" s="9">
        <v>6.1891264436503768</v>
      </c>
    </row>
    <row r="307" spans="3:56" x14ac:dyDescent="0.25">
      <c r="C307" s="111">
        <v>33.717700000000001</v>
      </c>
      <c r="F307" s="111">
        <v>9.202</v>
      </c>
      <c r="G307" s="112">
        <v>100</v>
      </c>
      <c r="J307" s="111">
        <v>2238.31</v>
      </c>
      <c r="K307" s="111">
        <v>2166.71</v>
      </c>
      <c r="L307" s="91">
        <v>7.7648642908389061</v>
      </c>
      <c r="M307" s="12">
        <v>770.33130363324506</v>
      </c>
      <c r="N307" s="11">
        <v>34.968567526650979</v>
      </c>
      <c r="O307" s="11">
        <v>2060.9773316586902</v>
      </c>
      <c r="P307" s="11">
        <v>70.764100814658704</v>
      </c>
      <c r="Q307" s="11">
        <v>1.6673239807708959</v>
      </c>
      <c r="R307" s="11">
        <v>1.0579948705721669</v>
      </c>
      <c r="S307" s="13">
        <v>17.22560212068446</v>
      </c>
      <c r="T307" s="14">
        <v>1026.5367214029038</v>
      </c>
      <c r="U307" s="91">
        <v>7.8323896064722529</v>
      </c>
      <c r="V307" s="12">
        <v>646.49086168309771</v>
      </c>
      <c r="W307" s="11">
        <v>33.957794380162454</v>
      </c>
      <c r="X307" s="11">
        <v>2063.3105663292831</v>
      </c>
      <c r="Y307" s="11">
        <v>69.441639290554619</v>
      </c>
      <c r="Z307" s="11">
        <v>1.6690123100915759</v>
      </c>
      <c r="AA307" s="11">
        <v>1.0514813292986742</v>
      </c>
      <c r="AB307" s="13">
        <v>17.472511821039266</v>
      </c>
      <c r="AC307" s="14">
        <v>1026.6587884199234</v>
      </c>
      <c r="AD307" s="15">
        <v>4</v>
      </c>
      <c r="AE307" s="9">
        <v>1.3429997044899806</v>
      </c>
      <c r="AF307" s="9">
        <v>5.9944689177393222</v>
      </c>
      <c r="AG307" s="9">
        <v>9.2291245133657078</v>
      </c>
      <c r="AH307" s="9">
        <v>13.874503791627811</v>
      </c>
      <c r="AI307" s="9">
        <v>8.7830354001496982</v>
      </c>
      <c r="AJ307" s="9">
        <v>2.5048381650631031</v>
      </c>
      <c r="AK307" s="9">
        <v>0.73681222789782674</v>
      </c>
      <c r="AL307" s="9">
        <v>1.59623623276717</v>
      </c>
      <c r="AM307" s="9">
        <v>6.0916068736781854</v>
      </c>
      <c r="AN307" s="9">
        <v>9.1406370641802699</v>
      </c>
      <c r="AO307" s="9">
        <v>9.6646437552161615</v>
      </c>
      <c r="AP307" s="9">
        <v>6.376230980303732</v>
      </c>
      <c r="AQ307" s="9">
        <v>6.1786945458553886</v>
      </c>
      <c r="AR307" s="9">
        <v>1.2796229161140256</v>
      </c>
      <c r="AS307" s="9">
        <v>6.048764478522318</v>
      </c>
      <c r="AT307" s="9">
        <v>9.30533424413691</v>
      </c>
      <c r="AU307" s="9">
        <v>14.069450627980938</v>
      </c>
      <c r="AV307" s="9">
        <v>8.8437238435391201</v>
      </c>
      <c r="AW307" s="9">
        <v>2.4697236647753806</v>
      </c>
      <c r="AX307" s="9">
        <v>0.65964762987482506</v>
      </c>
      <c r="AY307" s="9">
        <v>1.5998184561511291</v>
      </c>
      <c r="AZ307" s="9">
        <v>6.139931674012777</v>
      </c>
      <c r="BA307" s="9">
        <v>9.2495287642638715</v>
      </c>
      <c r="BB307" s="9">
        <v>9.7568393690498549</v>
      </c>
      <c r="BC307" s="9">
        <v>6.3848635516086416</v>
      </c>
      <c r="BD307" s="9">
        <v>6.1842055772134792</v>
      </c>
    </row>
    <row r="308" spans="3:56" x14ac:dyDescent="0.25">
      <c r="C308" s="111">
        <v>34.032699999999998</v>
      </c>
      <c r="F308" s="111">
        <v>8.4309999999999992</v>
      </c>
      <c r="G308" s="112">
        <v>170</v>
      </c>
      <c r="J308" s="111">
        <v>2261.75</v>
      </c>
      <c r="K308" s="111">
        <v>2218.48</v>
      </c>
      <c r="L308" s="91">
        <v>7.676219959824043</v>
      </c>
      <c r="M308" s="12">
        <v>956.51030241140961</v>
      </c>
      <c r="N308" s="11">
        <v>44.482760110075738</v>
      </c>
      <c r="O308" s="11">
        <v>2115.8440031807236</v>
      </c>
      <c r="P308" s="11">
        <v>58.153236709200918</v>
      </c>
      <c r="Q308" s="11">
        <v>1.3495832612270688</v>
      </c>
      <c r="R308" s="11">
        <v>0.856550876775793</v>
      </c>
      <c r="S308" s="13">
        <v>18.252915416181807</v>
      </c>
      <c r="T308" s="14">
        <v>1027.2239479773425</v>
      </c>
      <c r="U308" s="91">
        <v>7.7337585290385125</v>
      </c>
      <c r="V308" s="12">
        <v>831.92168126352726</v>
      </c>
      <c r="W308" s="11">
        <v>43.616773544848527</v>
      </c>
      <c r="X308" s="11">
        <v>2117.6471287350296</v>
      </c>
      <c r="Y308" s="11">
        <v>57.21609772012215</v>
      </c>
      <c r="Z308" s="11">
        <v>1.3728563710179178</v>
      </c>
      <c r="AA308" s="11">
        <v>0.86542247579919218</v>
      </c>
      <c r="AB308" s="13">
        <v>18.489014448584523</v>
      </c>
      <c r="AC308" s="14">
        <v>1026.9084928556235</v>
      </c>
      <c r="AD308" s="15">
        <v>4</v>
      </c>
      <c r="AE308" s="9">
        <v>1.3324979251597646</v>
      </c>
      <c r="AF308" s="9">
        <v>5.9989280418594744</v>
      </c>
      <c r="AG308" s="9">
        <v>9.2371297129085157</v>
      </c>
      <c r="AH308" s="9">
        <v>13.904496398192178</v>
      </c>
      <c r="AI308" s="9">
        <v>8.7876173238533148</v>
      </c>
      <c r="AJ308" s="9">
        <v>2.4943348050618206</v>
      </c>
      <c r="AK308" s="9">
        <v>0.71687537137469837</v>
      </c>
      <c r="AL308" s="9">
        <v>1.5936951580077099</v>
      </c>
      <c r="AM308" s="9">
        <v>6.0950510766705159</v>
      </c>
      <c r="AN308" s="9">
        <v>9.1580026202581291</v>
      </c>
      <c r="AO308" s="9">
        <v>9.6758522334433721</v>
      </c>
      <c r="AP308" s="9">
        <v>6.365611304371555</v>
      </c>
      <c r="AQ308" s="9">
        <v>6.1681647852469599</v>
      </c>
      <c r="AR308" s="9">
        <v>1.2804289064328243</v>
      </c>
      <c r="AS308" s="9">
        <v>6.0475584717609605</v>
      </c>
      <c r="AT308" s="9">
        <v>9.3020938882475512</v>
      </c>
      <c r="AU308" s="9">
        <v>14.067471512549591</v>
      </c>
      <c r="AV308" s="9">
        <v>8.8420080832441155</v>
      </c>
      <c r="AW308" s="9">
        <v>2.4672013021468953</v>
      </c>
      <c r="AX308" s="9">
        <v>0.65617819597629568</v>
      </c>
      <c r="AY308" s="9">
        <v>1.5990445230069159</v>
      </c>
      <c r="AZ308" s="9">
        <v>6.1384839266696423</v>
      </c>
      <c r="BA308" s="9">
        <v>9.2515400220724793</v>
      </c>
      <c r="BB308" s="9">
        <v>9.7561369468586374</v>
      </c>
      <c r="BC308" s="9">
        <v>6.3800923820684812</v>
      </c>
      <c r="BD308" s="9">
        <v>6.1796954486076467</v>
      </c>
    </row>
    <row r="309" spans="3:56" x14ac:dyDescent="0.25">
      <c r="C309" s="111">
        <v>34.146599999999999</v>
      </c>
      <c r="F309" s="111">
        <v>7.9969999999999999</v>
      </c>
      <c r="G309" s="112">
        <v>230</v>
      </c>
      <c r="J309" s="111">
        <v>2277.11</v>
      </c>
      <c r="K309" s="111">
        <v>2256.0300000000002</v>
      </c>
      <c r="L309" s="91">
        <v>7.6035985470631884</v>
      </c>
      <c r="M309" s="12">
        <v>1139.069722636616</v>
      </c>
      <c r="N309" s="11">
        <v>53.726244156476859</v>
      </c>
      <c r="O309" s="11">
        <v>2152.7705986830233</v>
      </c>
      <c r="P309" s="11">
        <v>49.533157160499833</v>
      </c>
      <c r="Q309" s="11">
        <v>1.1356423575026526</v>
      </c>
      <c r="R309" s="11">
        <v>0.72095734413572221</v>
      </c>
      <c r="S309" s="13">
        <v>18.681268685221461</v>
      </c>
      <c r="T309" s="14">
        <v>1027.6531752269152</v>
      </c>
      <c r="U309" s="91">
        <v>7.6563263772972272</v>
      </c>
      <c r="V309" s="12">
        <v>1011.1428763552664</v>
      </c>
      <c r="W309" s="11">
        <v>52.977588327879886</v>
      </c>
      <c r="X309" s="11">
        <v>2154.2221432077395</v>
      </c>
      <c r="Y309" s="11">
        <v>48.830268464380715</v>
      </c>
      <c r="Z309" s="11">
        <v>1.1709250023409039</v>
      </c>
      <c r="AA309" s="11">
        <v>0.73828342190986684</v>
      </c>
      <c r="AB309" s="13">
        <v>18.894413180108025</v>
      </c>
      <c r="AC309" s="14">
        <v>1026.9987898936786</v>
      </c>
      <c r="AD309" s="15">
        <v>4</v>
      </c>
      <c r="AE309" s="9">
        <v>1.3263638267446964</v>
      </c>
      <c r="AF309" s="9">
        <v>6.0007872749955853</v>
      </c>
      <c r="AG309" s="9">
        <v>9.2417002904444843</v>
      </c>
      <c r="AH309" s="9">
        <v>13.92118127940652</v>
      </c>
      <c r="AI309" s="9">
        <v>8.789483092630519</v>
      </c>
      <c r="AJ309" s="9">
        <v>2.4885408275789311</v>
      </c>
      <c r="AK309" s="9">
        <v>0.70549961954652352</v>
      </c>
      <c r="AL309" s="9">
        <v>1.5919427164258781</v>
      </c>
      <c r="AM309" s="9">
        <v>6.0965300136529832</v>
      </c>
      <c r="AN309" s="9">
        <v>9.1665743603639367</v>
      </c>
      <c r="AO309" s="9">
        <v>9.6812758253524205</v>
      </c>
      <c r="AP309" s="9">
        <v>6.3588800238626684</v>
      </c>
      <c r="AQ309" s="9">
        <v>6.1615480114627861</v>
      </c>
      <c r="AR309" s="9">
        <v>1.2807203422973046</v>
      </c>
      <c r="AS309" s="9">
        <v>6.0471280758570991</v>
      </c>
      <c r="AT309" s="9">
        <v>9.3009277509768822</v>
      </c>
      <c r="AU309" s="9">
        <v>14.0667606642956</v>
      </c>
      <c r="AV309" s="9">
        <v>8.8413920932910184</v>
      </c>
      <c r="AW309" s="9">
        <v>2.4662919753295607</v>
      </c>
      <c r="AX309" s="9">
        <v>0.65491304033075404</v>
      </c>
      <c r="AY309" s="9">
        <v>1.5987688046607809</v>
      </c>
      <c r="AZ309" s="9">
        <v>6.1379708915552538</v>
      </c>
      <c r="BA309" s="9">
        <v>9.2523057722168414</v>
      </c>
      <c r="BB309" s="9">
        <v>9.7558865026091119</v>
      </c>
      <c r="BC309" s="9">
        <v>6.3783744187705196</v>
      </c>
      <c r="BD309" s="9">
        <v>6.1780684558236292</v>
      </c>
    </row>
    <row r="310" spans="3:56" x14ac:dyDescent="0.25">
      <c r="C310" s="111">
        <v>34.238799999999998</v>
      </c>
      <c r="F310" s="111">
        <v>7.4029999999999996</v>
      </c>
      <c r="G310" s="112">
        <v>320</v>
      </c>
      <c r="J310" s="111">
        <v>2292.69</v>
      </c>
      <c r="K310" s="111">
        <v>2283.9699999999998</v>
      </c>
      <c r="L310" s="91">
        <v>7.5655776690346643</v>
      </c>
      <c r="M310" s="12">
        <v>1240.7037907363992</v>
      </c>
      <c r="N310" s="11">
        <v>59.694693551727376</v>
      </c>
      <c r="O310" s="11">
        <v>2179.043038506783</v>
      </c>
      <c r="P310" s="11">
        <v>45.232267941489241</v>
      </c>
      <c r="Q310" s="11">
        <v>1.018575232631068</v>
      </c>
      <c r="R310" s="11">
        <v>0.64687730125939358</v>
      </c>
      <c r="S310" s="13">
        <v>18.77678475077202</v>
      </c>
      <c r="T310" s="14">
        <v>1028.2247352478782</v>
      </c>
      <c r="U310" s="91">
        <v>7.6131490244469679</v>
      </c>
      <c r="V310" s="12">
        <v>1129.8979609766061</v>
      </c>
      <c r="W310" s="11">
        <v>59.167466087001507</v>
      </c>
      <c r="X310" s="11">
        <v>2179.9679446087621</v>
      </c>
      <c r="Y310" s="11">
        <v>44.834589304236275</v>
      </c>
      <c r="Z310" s="11">
        <v>1.0745740202714051</v>
      </c>
      <c r="AA310" s="11">
        <v>0.67764569189879009</v>
      </c>
      <c r="AB310" s="13">
        <v>18.927425527779935</v>
      </c>
      <c r="AC310" s="14">
        <v>1027.0718864930932</v>
      </c>
      <c r="AD310" s="15">
        <v>4</v>
      </c>
      <c r="AE310" s="9">
        <v>1.317732382086338</v>
      </c>
      <c r="AF310" s="9">
        <v>6.0032475879564569</v>
      </c>
      <c r="AG310" s="9">
        <v>9.2483951133866498</v>
      </c>
      <c r="AH310" s="9">
        <v>13.9442696661197</v>
      </c>
      <c r="AI310" s="9">
        <v>8.7919766682347547</v>
      </c>
      <c r="AJ310" s="9">
        <v>2.4809597593442647</v>
      </c>
      <c r="AK310" s="9">
        <v>0.69021090306055577</v>
      </c>
      <c r="AL310" s="9">
        <v>1.5895261814317607</v>
      </c>
      <c r="AM310" s="9">
        <v>6.0985886202781368</v>
      </c>
      <c r="AN310" s="9">
        <v>9.1776183125299067</v>
      </c>
      <c r="AO310" s="9">
        <v>9.688472805012637</v>
      </c>
      <c r="AP310" s="9">
        <v>6.349908131397064</v>
      </c>
      <c r="AQ310" s="9">
        <v>6.1527369317404332</v>
      </c>
      <c r="AR310" s="9">
        <v>1.280956254384267</v>
      </c>
      <c r="AS310" s="9">
        <v>6.0467818874167989</v>
      </c>
      <c r="AT310" s="9">
        <v>9.2999859361349415</v>
      </c>
      <c r="AU310" s="9">
        <v>14.066187088543851</v>
      </c>
      <c r="AV310" s="9">
        <v>8.8408951672424418</v>
      </c>
      <c r="AW310" s="9">
        <v>2.4655569441395899</v>
      </c>
      <c r="AX310" s="9">
        <v>0.65388469872686972</v>
      </c>
      <c r="AY310" s="9">
        <v>1.5985472083301571</v>
      </c>
      <c r="AZ310" s="9">
        <v>6.1375596334457843</v>
      </c>
      <c r="BA310" s="9">
        <v>9.2529404965417665</v>
      </c>
      <c r="BB310" s="9">
        <v>9.7556851397403506</v>
      </c>
      <c r="BC310" s="9">
        <v>6.376986524029209</v>
      </c>
      <c r="BD310" s="9">
        <v>6.1767528691724438</v>
      </c>
    </row>
    <row r="311" spans="3:56" x14ac:dyDescent="0.25">
      <c r="C311" s="111">
        <v>34.305900000000001</v>
      </c>
      <c r="F311" s="111">
        <v>6.5090000000000003</v>
      </c>
      <c r="G311" s="112">
        <v>515</v>
      </c>
      <c r="J311" s="111">
        <v>2310.67</v>
      </c>
      <c r="K311" s="111">
        <v>2310.6999999999998</v>
      </c>
      <c r="L311" s="91">
        <v>7.540258382231948</v>
      </c>
      <c r="M311" s="12">
        <v>1294.0362925379675</v>
      </c>
      <c r="N311" s="11">
        <v>64.202631107300917</v>
      </c>
      <c r="O311" s="11">
        <v>2204.2260476901292</v>
      </c>
      <c r="P311" s="11">
        <v>42.271321202569524</v>
      </c>
      <c r="Q311" s="11">
        <v>0.91588979216132793</v>
      </c>
      <c r="R311" s="11">
        <v>0.58237300545875359</v>
      </c>
      <c r="S311" s="13">
        <v>18.830178791651939</v>
      </c>
      <c r="T311" s="14">
        <v>1029.2959019173954</v>
      </c>
      <c r="U311" s="91">
        <v>7.5831986440630921</v>
      </c>
      <c r="V311" s="12">
        <v>1223.8356315369642</v>
      </c>
      <c r="W311" s="11">
        <v>64.061211890700022</v>
      </c>
      <c r="X311" s="11">
        <v>2204.2589272703317</v>
      </c>
      <c r="Y311" s="11">
        <v>42.379860838967836</v>
      </c>
      <c r="Z311" s="11">
        <v>1.0153702367053794</v>
      </c>
      <c r="AA311" s="11">
        <v>0.64038720842732644</v>
      </c>
      <c r="AB311" s="13">
        <v>18.870751101119737</v>
      </c>
      <c r="AC311" s="14">
        <v>1027.125085257125</v>
      </c>
      <c r="AD311" s="15">
        <v>4</v>
      </c>
      <c r="AE311" s="9">
        <v>1.304393630339115</v>
      </c>
      <c r="AF311" s="9">
        <v>6.004555078406332</v>
      </c>
      <c r="AG311" s="9">
        <v>9.2574686904008257</v>
      </c>
      <c r="AH311" s="9">
        <v>13.977597145755285</v>
      </c>
      <c r="AI311" s="9">
        <v>8.7929666980976204</v>
      </c>
      <c r="AJ311" s="9">
        <v>2.4690060115503529</v>
      </c>
      <c r="AK311" s="9">
        <v>0.66577963328179834</v>
      </c>
      <c r="AL311" s="9">
        <v>1.5845783762670687</v>
      </c>
      <c r="AM311" s="9">
        <v>6.0996831474325131</v>
      </c>
      <c r="AN311" s="9">
        <v>9.1910603776656927</v>
      </c>
      <c r="AO311" s="9">
        <v>9.6963971856622546</v>
      </c>
      <c r="AP311" s="9">
        <v>6.3323104978538236</v>
      </c>
      <c r="AQ311" s="9">
        <v>6.135668515202199</v>
      </c>
      <c r="AR311" s="9">
        <v>1.2811279431156684</v>
      </c>
      <c r="AS311" s="9">
        <v>6.0465311859559332</v>
      </c>
      <c r="AT311" s="9">
        <v>9.2993017261259681</v>
      </c>
      <c r="AU311" s="9">
        <v>14.065770692403323</v>
      </c>
      <c r="AV311" s="9">
        <v>8.8405344793462</v>
      </c>
      <c r="AW311" s="9">
        <v>2.4650226032121143</v>
      </c>
      <c r="AX311" s="9">
        <v>0.65313391001874099</v>
      </c>
      <c r="AY311" s="9">
        <v>1.5983868304541577</v>
      </c>
      <c r="AZ311" s="9">
        <v>6.1372625943238397</v>
      </c>
      <c r="BA311" s="9">
        <v>9.2534107545743627</v>
      </c>
      <c r="BB311" s="9">
        <v>9.7555393606817411</v>
      </c>
      <c r="BC311" s="9">
        <v>6.375978003767826</v>
      </c>
      <c r="BD311" s="9">
        <v>6.1757962232899049</v>
      </c>
    </row>
    <row r="312" spans="3:56" x14ac:dyDescent="0.25">
      <c r="C312" s="111">
        <v>33.351700000000001</v>
      </c>
      <c r="F312" s="111">
        <v>18.486999999999998</v>
      </c>
      <c r="G312" s="112">
        <v>3</v>
      </c>
      <c r="J312" s="111">
        <v>2230.15</v>
      </c>
      <c r="K312" s="111">
        <v>1999.21</v>
      </c>
      <c r="L312" s="91">
        <v>8.039386104130708</v>
      </c>
      <c r="M312" s="12">
        <v>389.29518590448481</v>
      </c>
      <c r="N312" s="11">
        <v>13.282648170690825</v>
      </c>
      <c r="O312" s="11">
        <v>1819.8221509022371</v>
      </c>
      <c r="P312" s="11">
        <v>166.10520092707202</v>
      </c>
      <c r="Q312" s="11">
        <v>4.0123834217405072</v>
      </c>
      <c r="R312" s="11">
        <v>2.5900495798118888</v>
      </c>
      <c r="S312" s="13">
        <v>10.987210402805111</v>
      </c>
      <c r="T312" s="14">
        <v>1023.9045176944611</v>
      </c>
      <c r="U312" s="91">
        <v>8.2524671590903615</v>
      </c>
      <c r="V312" s="12">
        <v>217.88990064662451</v>
      </c>
      <c r="W312" s="11">
        <v>11.46966329095155</v>
      </c>
      <c r="X312" s="11">
        <v>1827.3556958552369</v>
      </c>
      <c r="Y312" s="11">
        <v>160.38464085381136</v>
      </c>
      <c r="Z312" s="11">
        <v>3.8622811317183663</v>
      </c>
      <c r="AA312" s="11">
        <v>2.4314491167179604</v>
      </c>
      <c r="AB312" s="13">
        <v>11.187737362100989</v>
      </c>
      <c r="AC312" s="14">
        <v>1026.3686914641664</v>
      </c>
      <c r="AD312" s="15">
        <v>4</v>
      </c>
      <c r="AE312" s="9">
        <v>1.4669943639326564</v>
      </c>
      <c r="AF312" s="9">
        <v>5.9026418264190141</v>
      </c>
      <c r="AG312" s="9">
        <v>9.0790318202186278</v>
      </c>
      <c r="AH312" s="9">
        <v>13.483031631843334</v>
      </c>
      <c r="AI312" s="9">
        <v>8.674387724330316</v>
      </c>
      <c r="AJ312" s="9">
        <v>2.5874365494157723</v>
      </c>
      <c r="AK312" s="9">
        <v>0.90693927001788099</v>
      </c>
      <c r="AL312" s="9">
        <v>1.6035694425533675</v>
      </c>
      <c r="AM312" s="9">
        <v>6.0133896290717859</v>
      </c>
      <c r="AN312" s="9">
        <v>8.9243776967311135</v>
      </c>
      <c r="AO312" s="9">
        <v>9.4936448070411501</v>
      </c>
      <c r="AP312" s="9">
        <v>6.3917831393360069</v>
      </c>
      <c r="AQ312" s="9">
        <v>6.2016887896065294</v>
      </c>
      <c r="AR312" s="9">
        <v>1.2786864321245643</v>
      </c>
      <c r="AS312" s="9">
        <v>6.0501947365613864</v>
      </c>
      <c r="AT312" s="9">
        <v>9.3091274743771777</v>
      </c>
      <c r="AU312" s="9">
        <v>14.071774821195994</v>
      </c>
      <c r="AV312" s="9">
        <v>8.845740034746056</v>
      </c>
      <c r="AW312" s="9">
        <v>2.4726684973919544</v>
      </c>
      <c r="AX312" s="9">
        <v>0.66362599330966465</v>
      </c>
      <c r="AY312" s="9">
        <v>1.6007389934105118</v>
      </c>
      <c r="AZ312" s="9">
        <v>6.1416677764737662</v>
      </c>
      <c r="BA312" s="9">
        <v>9.2473906547877256</v>
      </c>
      <c r="BB312" s="9">
        <v>9.7576738115542803</v>
      </c>
      <c r="BC312" s="9">
        <v>6.3904450493777736</v>
      </c>
      <c r="BD312" s="9">
        <v>6.1894663523641897</v>
      </c>
    </row>
    <row r="313" spans="3:56" x14ac:dyDescent="0.25">
      <c r="C313" s="111">
        <v>33.096800000000002</v>
      </c>
      <c r="F313" s="111">
        <v>15.343</v>
      </c>
      <c r="G313" s="112">
        <v>29</v>
      </c>
      <c r="J313" s="111">
        <v>2217.8200000000002</v>
      </c>
      <c r="K313" s="111">
        <v>2002.67</v>
      </c>
      <c r="L313" s="91">
        <v>8.0592682549593775</v>
      </c>
      <c r="M313" s="12">
        <v>366.67787343089083</v>
      </c>
      <c r="N313" s="11">
        <v>13.739155728773706</v>
      </c>
      <c r="O313" s="11">
        <v>1834.2369420905636</v>
      </c>
      <c r="P313" s="11">
        <v>154.69390218066238</v>
      </c>
      <c r="Q313" s="11">
        <v>3.7164505583304583</v>
      </c>
      <c r="R313" s="11">
        <v>2.3810302088328412</v>
      </c>
      <c r="S313" s="13">
        <v>11.435660043065885</v>
      </c>
      <c r="T313" s="14">
        <v>1024.5599143882828</v>
      </c>
      <c r="U313" s="91">
        <v>8.2243424256213089</v>
      </c>
      <c r="V313" s="12">
        <v>234.25669385781049</v>
      </c>
      <c r="W313" s="11">
        <v>12.34973930480535</v>
      </c>
      <c r="X313" s="11">
        <v>1839.8861985510325</v>
      </c>
      <c r="Y313" s="11">
        <v>150.43406214416186</v>
      </c>
      <c r="Z313" s="11">
        <v>3.6274990899011108</v>
      </c>
      <c r="AA313" s="11">
        <v>2.2824128688398084</v>
      </c>
      <c r="AB313" s="13">
        <v>11.599173621069285</v>
      </c>
      <c r="AC313" s="14">
        <v>1026.1666764871641</v>
      </c>
      <c r="AD313" s="15">
        <v>4</v>
      </c>
      <c r="AE313" s="9">
        <v>1.4263246578257094</v>
      </c>
      <c r="AF313" s="9">
        <v>5.9337728650826262</v>
      </c>
      <c r="AG313" s="9">
        <v>9.1332504962304188</v>
      </c>
      <c r="AH313" s="9">
        <v>13.614804208907033</v>
      </c>
      <c r="AI313" s="9">
        <v>8.7128553945803837</v>
      </c>
      <c r="AJ313" s="9">
        <v>2.5632123609611068</v>
      </c>
      <c r="AK313" s="9">
        <v>0.854947515110284</v>
      </c>
      <c r="AL313" s="9">
        <v>1.601534144412611</v>
      </c>
      <c r="AM313" s="9">
        <v>6.0402501465675282</v>
      </c>
      <c r="AN313" s="9">
        <v>8.995066019511416</v>
      </c>
      <c r="AO313" s="9">
        <v>9.5506222971605723</v>
      </c>
      <c r="AP313" s="9">
        <v>6.3927510777481098</v>
      </c>
      <c r="AQ313" s="9">
        <v>6.1993876236541796</v>
      </c>
      <c r="AR313" s="9">
        <v>1.2780342196411933</v>
      </c>
      <c r="AS313" s="9">
        <v>6.0512092539643296</v>
      </c>
      <c r="AT313" s="9">
        <v>9.3117872044480734</v>
      </c>
      <c r="AU313" s="9">
        <v>14.073409373021876</v>
      </c>
      <c r="AV313" s="9">
        <v>8.8471587034170653</v>
      </c>
      <c r="AW313" s="9">
        <v>2.4747284966031713</v>
      </c>
      <c r="AX313" s="9">
        <v>0.66636437771670864</v>
      </c>
      <c r="AY313" s="9">
        <v>1.6013938153563385</v>
      </c>
      <c r="AZ313" s="9">
        <v>6.1429116253270983</v>
      </c>
      <c r="BA313" s="9">
        <v>9.2460295677122506</v>
      </c>
      <c r="BB313" s="9">
        <v>9.7582667418175788</v>
      </c>
      <c r="BC313" s="9">
        <v>6.3943570422516505</v>
      </c>
      <c r="BD313" s="9">
        <v>6.1931439374231125</v>
      </c>
    </row>
    <row r="314" spans="3:56" x14ac:dyDescent="0.25">
      <c r="C314" s="111">
        <v>33.249400000000001</v>
      </c>
      <c r="F314" s="111">
        <v>13.414</v>
      </c>
      <c r="G314" s="112">
        <v>50</v>
      </c>
      <c r="J314" s="111">
        <v>2225.3200000000002</v>
      </c>
      <c r="K314" s="111">
        <v>2044.92</v>
      </c>
      <c r="L314" s="91">
        <v>8.008309605364925</v>
      </c>
      <c r="M314" s="12">
        <v>419.51923468230444</v>
      </c>
      <c r="N314" s="11">
        <v>16.663000214808246</v>
      </c>
      <c r="O314" s="11">
        <v>1895.6548607715165</v>
      </c>
      <c r="P314" s="11">
        <v>132.6021390136753</v>
      </c>
      <c r="Q314" s="11">
        <v>3.1669409860705553</v>
      </c>
      <c r="R314" s="11">
        <v>2.0219320004036212</v>
      </c>
      <c r="S314" s="13">
        <v>12.566331513917905</v>
      </c>
      <c r="T314" s="14">
        <v>1025.1785493068401</v>
      </c>
      <c r="U314" s="91">
        <v>8.143030759786603</v>
      </c>
      <c r="V314" s="12">
        <v>291.61092796691156</v>
      </c>
      <c r="W314" s="11">
        <v>15.359572128869155</v>
      </c>
      <c r="X314" s="11">
        <v>1900.2458717304264</v>
      </c>
      <c r="Y314" s="11">
        <v>129.31455614070444</v>
      </c>
      <c r="Z314" s="11">
        <v>3.1157448959109555</v>
      </c>
      <c r="AA314" s="11">
        <v>1.9610569570935845</v>
      </c>
      <c r="AB314" s="13">
        <v>12.742352314361842</v>
      </c>
      <c r="AC314" s="14">
        <v>1026.2876138082204</v>
      </c>
      <c r="AD314" s="15">
        <v>4</v>
      </c>
      <c r="AE314" s="9">
        <v>1.4009986778214236</v>
      </c>
      <c r="AF314" s="9">
        <v>5.9523035364717911</v>
      </c>
      <c r="AG314" s="9">
        <v>9.1635183444179464</v>
      </c>
      <c r="AH314" s="9">
        <v>13.695065433254301</v>
      </c>
      <c r="AI314" s="9">
        <v>8.7348127589490367</v>
      </c>
      <c r="AJ314" s="9">
        <v>2.5454790324959777</v>
      </c>
      <c r="AK314" s="9">
        <v>0.81930067507241311</v>
      </c>
      <c r="AL314" s="9">
        <v>1.5996159280770119</v>
      </c>
      <c r="AM314" s="9">
        <v>6.0557540701000772</v>
      </c>
      <c r="AN314" s="9">
        <v>9.0398111411294195</v>
      </c>
      <c r="AO314" s="9">
        <v>9.585659860396655</v>
      </c>
      <c r="AP314" s="9">
        <v>6.3881875467275169</v>
      </c>
      <c r="AQ314" s="9">
        <v>6.1933141218240211</v>
      </c>
      <c r="AR314" s="9">
        <v>1.2784246771734116</v>
      </c>
      <c r="AS314" s="9">
        <v>6.0506000798184481</v>
      </c>
      <c r="AT314" s="9">
        <v>9.31019314401183</v>
      </c>
      <c r="AU314" s="9">
        <v>14.072429245622995</v>
      </c>
      <c r="AV314" s="9">
        <v>8.8463079586459639</v>
      </c>
      <c r="AW314" s="9">
        <v>2.4734943430231455</v>
      </c>
      <c r="AX314" s="9">
        <v>0.66472813074728332</v>
      </c>
      <c r="AY314" s="9">
        <v>1.6010004332597532</v>
      </c>
      <c r="AZ314" s="9">
        <v>6.142163524038148</v>
      </c>
      <c r="BA314" s="9">
        <v>9.2468316906667223</v>
      </c>
      <c r="BB314" s="9">
        <v>9.7579106037853158</v>
      </c>
      <c r="BC314" s="9">
        <v>6.3920125846105638</v>
      </c>
      <c r="BD314" s="9">
        <v>6.1909408998945175</v>
      </c>
    </row>
    <row r="315" spans="3:56" x14ac:dyDescent="0.25">
      <c r="C315" s="111">
        <v>33.569299999999998</v>
      </c>
      <c r="F315" s="111">
        <v>10.66</v>
      </c>
      <c r="G315" s="112">
        <v>100</v>
      </c>
      <c r="J315" s="111">
        <v>2232.86</v>
      </c>
      <c r="K315" s="111">
        <v>2140.5700000000002</v>
      </c>
      <c r="L315" s="91">
        <v>7.8095037445725612</v>
      </c>
      <c r="M315" s="12">
        <v>691.92335906150549</v>
      </c>
      <c r="N315" s="11">
        <v>29.954943991105356</v>
      </c>
      <c r="O315" s="11">
        <v>2029.1048404353955</v>
      </c>
      <c r="P315" s="11">
        <v>81.510215573499053</v>
      </c>
      <c r="Q315" s="11">
        <v>1.9230519972857587</v>
      </c>
      <c r="R315" s="11">
        <v>1.2229248383507196</v>
      </c>
      <c r="S315" s="13">
        <v>16.260934531275794</v>
      </c>
      <c r="T315" s="14">
        <v>1026.1737549788063</v>
      </c>
      <c r="U315" s="91">
        <v>7.8999217241980801</v>
      </c>
      <c r="V315" s="12">
        <v>545.31251323319225</v>
      </c>
      <c r="W315" s="11">
        <v>28.668320984334766</v>
      </c>
      <c r="X315" s="11">
        <v>2032.2790593490565</v>
      </c>
      <c r="Y315" s="11">
        <v>79.622619666608699</v>
      </c>
      <c r="Z315" s="11">
        <v>1.9152192673342678</v>
      </c>
      <c r="AA315" s="11">
        <v>1.2062372639464169</v>
      </c>
      <c r="AB315" s="13">
        <v>16.541776765485157</v>
      </c>
      <c r="AC315" s="14">
        <v>1026.5411597931088</v>
      </c>
      <c r="AD315" s="15">
        <v>4</v>
      </c>
      <c r="AE315" s="9">
        <v>1.3635894805667481</v>
      </c>
      <c r="AF315" s="9">
        <v>5.9786677695896211</v>
      </c>
      <c r="AG315" s="9">
        <v>9.2055961897153153</v>
      </c>
      <c r="AH315" s="9">
        <v>13.810855169519687</v>
      </c>
      <c r="AI315" s="9">
        <v>8.7651654268246233</v>
      </c>
      <c r="AJ315" s="9">
        <v>2.5185976391160527</v>
      </c>
      <c r="AK315" s="9">
        <v>0.76522561067717643</v>
      </c>
      <c r="AL315" s="9">
        <v>1.5967352462340969</v>
      </c>
      <c r="AM315" s="9">
        <v>6.0779782111221223</v>
      </c>
      <c r="AN315" s="9">
        <v>9.1045470437179343</v>
      </c>
      <c r="AO315" s="9">
        <v>9.6359018976256809</v>
      </c>
      <c r="AP315" s="9">
        <v>6.3787186187715808</v>
      </c>
      <c r="AQ315" s="9">
        <v>6.1821273573853768</v>
      </c>
      <c r="AR315" s="9">
        <v>1.2792432051193918</v>
      </c>
      <c r="AS315" s="9">
        <v>6.0493406403915051</v>
      </c>
      <c r="AT315" s="9">
        <v>9.3068686041784972</v>
      </c>
      <c r="AU315" s="9">
        <v>14.070389790214238</v>
      </c>
      <c r="AV315" s="9">
        <v>8.844538392206573</v>
      </c>
      <c r="AW315" s="9">
        <v>2.4709158515566303</v>
      </c>
      <c r="AX315" s="9">
        <v>0.66126743544275279</v>
      </c>
      <c r="AY315" s="9">
        <v>1.6001889226207668</v>
      </c>
      <c r="AZ315" s="9">
        <v>6.1406285630280868</v>
      </c>
      <c r="BA315" s="9">
        <v>9.2486359056863474</v>
      </c>
      <c r="BB315" s="9">
        <v>9.7571753188373531</v>
      </c>
      <c r="BC315" s="9">
        <v>6.387121673165729</v>
      </c>
      <c r="BD315" s="9">
        <v>6.1863359119058225</v>
      </c>
    </row>
    <row r="316" spans="3:56" x14ac:dyDescent="0.25">
      <c r="C316" s="111">
        <v>33.912100000000002</v>
      </c>
      <c r="F316" s="111">
        <v>8.673</v>
      </c>
      <c r="G316" s="112">
        <v>170</v>
      </c>
      <c r="J316" s="111">
        <v>2254.64</v>
      </c>
      <c r="K316" s="111">
        <v>2189.27</v>
      </c>
      <c r="L316" s="91">
        <v>7.7470797315927111</v>
      </c>
      <c r="M316" s="12">
        <v>802.14506461778728</v>
      </c>
      <c r="N316" s="11">
        <v>37.025260662775075</v>
      </c>
      <c r="O316" s="11">
        <v>2084.3450513048006</v>
      </c>
      <c r="P316" s="11">
        <v>67.899688032423882</v>
      </c>
      <c r="Q316" s="11">
        <v>1.5769946066989209</v>
      </c>
      <c r="R316" s="11">
        <v>1.0010376805406698</v>
      </c>
      <c r="S316" s="13">
        <v>17.523877151441646</v>
      </c>
      <c r="T316" s="14">
        <v>1027.0914666752105</v>
      </c>
      <c r="U316" s="91">
        <v>7.8091674015014201</v>
      </c>
      <c r="V316" s="12">
        <v>689.18507110201415</v>
      </c>
      <c r="W316" s="11">
        <v>36.158926962789423</v>
      </c>
      <c r="X316" s="11">
        <v>2086.2457359846335</v>
      </c>
      <c r="Y316" s="11">
        <v>66.865337052576749</v>
      </c>
      <c r="Z316" s="11">
        <v>1.6054225750611448</v>
      </c>
      <c r="AA316" s="11">
        <v>1.0117987318791721</v>
      </c>
      <c r="AB316" s="13">
        <v>17.741171262832083</v>
      </c>
      <c r="AC316" s="14">
        <v>1026.8128883377669</v>
      </c>
      <c r="AD316" s="15">
        <v>4</v>
      </c>
      <c r="AE316" s="9">
        <v>1.3357547910528527</v>
      </c>
      <c r="AF316" s="9">
        <v>5.996608240761466</v>
      </c>
      <c r="AG316" s="9">
        <v>9.2341815682157087</v>
      </c>
      <c r="AH316" s="9">
        <v>13.894418102213573</v>
      </c>
      <c r="AI316" s="9">
        <v>8.7851434297944859</v>
      </c>
      <c r="AJ316" s="9">
        <v>2.4974059896195957</v>
      </c>
      <c r="AK316" s="9">
        <v>0.72267115479264676</v>
      </c>
      <c r="AL316" s="9">
        <v>1.5939948529261643</v>
      </c>
      <c r="AM316" s="9">
        <v>6.0931719247212746</v>
      </c>
      <c r="AN316" s="9">
        <v>9.1513774877540222</v>
      </c>
      <c r="AO316" s="9">
        <v>9.6712203845078673</v>
      </c>
      <c r="AP316" s="9">
        <v>6.3674896634515425</v>
      </c>
      <c r="AQ316" s="9">
        <v>6.1701098806760051</v>
      </c>
      <c r="AR316" s="9">
        <v>1.2801203272821988</v>
      </c>
      <c r="AS316" s="9">
        <v>6.0480174735076693</v>
      </c>
      <c r="AT316" s="9">
        <v>9.3033318254229034</v>
      </c>
      <c r="AU316" s="9">
        <v>14.068226931637508</v>
      </c>
      <c r="AV316" s="9">
        <v>8.8426628550126818</v>
      </c>
      <c r="AW316" s="9">
        <v>2.4681656930269091</v>
      </c>
      <c r="AX316" s="9">
        <v>0.65751156270696798</v>
      </c>
      <c r="AY316" s="9">
        <v>1.5993388418455672</v>
      </c>
      <c r="AZ316" s="9">
        <v>6.1390331737113071</v>
      </c>
      <c r="BA316" s="9">
        <v>9.2507514547633605</v>
      </c>
      <c r="BB316" s="9">
        <v>9.7564041679891655</v>
      </c>
      <c r="BC316" s="9">
        <v>6.3819155618066388</v>
      </c>
      <c r="BD316" s="9">
        <v>6.1814203269369887</v>
      </c>
    </row>
    <row r="317" spans="3:56" x14ac:dyDescent="0.25">
      <c r="C317" s="111">
        <v>34.039900000000003</v>
      </c>
      <c r="F317" s="111">
        <v>8.0950000000000006</v>
      </c>
      <c r="G317" s="112">
        <v>230</v>
      </c>
      <c r="J317" s="111">
        <v>2266.5300000000002</v>
      </c>
      <c r="K317" s="111">
        <v>2220.35</v>
      </c>
      <c r="L317" s="91">
        <v>7.688307836447807</v>
      </c>
      <c r="M317" s="12">
        <v>922.88960038871028</v>
      </c>
      <c r="N317" s="11">
        <v>43.411131417028656</v>
      </c>
      <c r="O317" s="11">
        <v>2117.6373763709162</v>
      </c>
      <c r="P317" s="11">
        <v>59.301492212055081</v>
      </c>
      <c r="Q317" s="11">
        <v>1.3604905420873259</v>
      </c>
      <c r="R317" s="11">
        <v>0.86366141729469592</v>
      </c>
      <c r="S317" s="13">
        <v>18.217445002051871</v>
      </c>
      <c r="T317" s="14">
        <v>1027.5545244572206</v>
      </c>
      <c r="U317" s="91">
        <v>7.7434572095226271</v>
      </c>
      <c r="V317" s="12">
        <v>814.09486016666415</v>
      </c>
      <c r="W317" s="11">
        <v>42.680321651900684</v>
      </c>
      <c r="X317" s="11">
        <v>2119.1110572971302</v>
      </c>
      <c r="Y317" s="11">
        <v>58.558621050969101</v>
      </c>
      <c r="Z317" s="11">
        <v>1.4050147052859856</v>
      </c>
      <c r="AA317" s="11">
        <v>0.88570631383291976</v>
      </c>
      <c r="AB317" s="13">
        <v>18.415040861993536</v>
      </c>
      <c r="AC317" s="14">
        <v>1026.9142007216183</v>
      </c>
      <c r="AD317" s="15">
        <v>4</v>
      </c>
      <c r="AE317" s="9">
        <v>1.3275486472227349</v>
      </c>
      <c r="AF317" s="9">
        <v>6.0000573477050132</v>
      </c>
      <c r="AG317" s="9">
        <v>9.2410938084041199</v>
      </c>
      <c r="AH317" s="9">
        <v>13.917452617226461</v>
      </c>
      <c r="AI317" s="9">
        <v>8.788791948547491</v>
      </c>
      <c r="AJ317" s="9">
        <v>2.4902490038252618</v>
      </c>
      <c r="AK317" s="9">
        <v>0.70846676988927826</v>
      </c>
      <c r="AL317" s="9">
        <v>1.5922074647653293</v>
      </c>
      <c r="AM317" s="9">
        <v>6.0960285922698754</v>
      </c>
      <c r="AN317" s="9">
        <v>9.1635207691004208</v>
      </c>
      <c r="AO317" s="9">
        <v>9.6795182212866386</v>
      </c>
      <c r="AP317" s="9">
        <v>6.3605235482032629</v>
      </c>
      <c r="AQ317" s="9">
        <v>6.1631715398360525</v>
      </c>
      <c r="AR317" s="9">
        <v>1.2804473290686826</v>
      </c>
      <c r="AS317" s="9">
        <v>6.0475311756707715</v>
      </c>
      <c r="AT317" s="9">
        <v>9.3020200857892021</v>
      </c>
      <c r="AU317" s="9">
        <v>14.067426502721705</v>
      </c>
      <c r="AV317" s="9">
        <v>8.8419690753420124</v>
      </c>
      <c r="AW317" s="9">
        <v>2.4671437778764882</v>
      </c>
      <c r="AX317" s="9">
        <v>0.65609839071133325</v>
      </c>
      <c r="AY317" s="9">
        <v>1.5990270293491951</v>
      </c>
      <c r="AZ317" s="9">
        <v>6.1384513324156815</v>
      </c>
      <c r="BA317" s="9">
        <v>9.2515878250428276</v>
      </c>
      <c r="BB317" s="9">
        <v>9.7561210599985486</v>
      </c>
      <c r="BC317" s="9">
        <v>6.3799836713293256</v>
      </c>
      <c r="BD317" s="9">
        <v>6.179592542208157</v>
      </c>
    </row>
    <row r="318" spans="3:56" x14ac:dyDescent="0.25">
      <c r="C318" s="111">
        <v>34.125100000000003</v>
      </c>
      <c r="F318" s="111">
        <v>6.9660000000000002</v>
      </c>
      <c r="G318" s="112">
        <v>320</v>
      </c>
      <c r="J318" s="111">
        <v>2288.85</v>
      </c>
      <c r="K318" s="111">
        <v>2272.65</v>
      </c>
      <c r="L318" s="91">
        <v>7.5982276070294272</v>
      </c>
      <c r="M318" s="12">
        <v>1142.1854126956855</v>
      </c>
      <c r="N318" s="11">
        <v>55.830407877772593</v>
      </c>
      <c r="O318" s="11">
        <v>2169.2450334026175</v>
      </c>
      <c r="P318" s="11">
        <v>47.574558719609918</v>
      </c>
      <c r="Q318" s="11">
        <v>1.0717250156894798</v>
      </c>
      <c r="R318" s="11">
        <v>0.6800713154990069</v>
      </c>
      <c r="S318" s="13">
        <v>18.832806258499261</v>
      </c>
      <c r="T318" s="14">
        <v>1028.1994612659614</v>
      </c>
      <c r="U318" s="91">
        <v>7.6398025012158133</v>
      </c>
      <c r="V318" s="12">
        <v>1058.0547088169401</v>
      </c>
      <c r="W318" s="11">
        <v>55.442498586655532</v>
      </c>
      <c r="X318" s="11">
        <v>2169.8824536704096</v>
      </c>
      <c r="Y318" s="11">
        <v>47.325047742935112</v>
      </c>
      <c r="Z318" s="11">
        <v>1.1349624411613908</v>
      </c>
      <c r="AA318" s="11">
        <v>0.71558049498177945</v>
      </c>
      <c r="AB318" s="13">
        <v>18.944170634067738</v>
      </c>
      <c r="AC318" s="14">
        <v>1026.9817449482239</v>
      </c>
      <c r="AD318" s="15">
        <v>4</v>
      </c>
      <c r="AE318" s="9">
        <v>1.3108658086483143</v>
      </c>
      <c r="AF318" s="9">
        <v>6.008789795912107</v>
      </c>
      <c r="AG318" s="9">
        <v>9.2571614501591863</v>
      </c>
      <c r="AH318" s="9">
        <v>13.96486326863965</v>
      </c>
      <c r="AI318" s="9">
        <v>8.7983011812892169</v>
      </c>
      <c r="AJ318" s="9">
        <v>2.4780229849873385</v>
      </c>
      <c r="AK318" s="9">
        <v>0.68297647487557511</v>
      </c>
      <c r="AL318" s="9">
        <v>1.5898916272828281</v>
      </c>
      <c r="AM318" s="9">
        <v>6.1036726360270235</v>
      </c>
      <c r="AN318" s="9">
        <v>9.1877195063042301</v>
      </c>
      <c r="AO318" s="9">
        <v>9.6977033237165191</v>
      </c>
      <c r="AP318" s="9">
        <v>6.3515165850775759</v>
      </c>
      <c r="AQ318" s="9">
        <v>6.1539876744244921</v>
      </c>
      <c r="AR318" s="9">
        <v>1.280665330259672</v>
      </c>
      <c r="AS318" s="9">
        <v>6.0472090872996418</v>
      </c>
      <c r="AT318" s="9">
        <v>9.3011476484440756</v>
      </c>
      <c r="AU318" s="9">
        <v>14.066894652476176</v>
      </c>
      <c r="AV318" s="9">
        <v>8.8415081902302326</v>
      </c>
      <c r="AW318" s="9">
        <v>2.4664635115192897</v>
      </c>
      <c r="AX318" s="9">
        <v>0.65515229324646052</v>
      </c>
      <c r="AY318" s="9">
        <v>1.5988206830407341</v>
      </c>
      <c r="AZ318" s="9">
        <v>6.1380673106302144</v>
      </c>
      <c r="BA318" s="9">
        <v>9.2521596711604435</v>
      </c>
      <c r="BB318" s="9">
        <v>9.7559336338021403</v>
      </c>
      <c r="BC318" s="9">
        <v>6.378698414885184</v>
      </c>
      <c r="BD318" s="9">
        <v>6.1783754192688942</v>
      </c>
    </row>
    <row r="319" spans="3:56" x14ac:dyDescent="0.25">
      <c r="C319" s="111">
        <v>34.305399999999999</v>
      </c>
      <c r="F319" s="111">
        <v>6.1280000000000001</v>
      </c>
      <c r="G319" s="112">
        <v>515</v>
      </c>
      <c r="J319" s="111">
        <v>2320.02</v>
      </c>
      <c r="K319" s="111">
        <v>2317.52</v>
      </c>
      <c r="L319" s="91">
        <v>7.5544593950375836</v>
      </c>
      <c r="M319" s="12">
        <v>1252.6591943622689</v>
      </c>
      <c r="N319" s="11">
        <v>62.988245168480397</v>
      </c>
      <c r="O319" s="11">
        <v>2211.3801388049928</v>
      </c>
      <c r="P319" s="11">
        <v>43.151616026526717</v>
      </c>
      <c r="Q319" s="11">
        <v>0.93458055533099671</v>
      </c>
      <c r="R319" s="11">
        <v>0.59395717778485324</v>
      </c>
      <c r="S319" s="13">
        <v>18.903676605382639</v>
      </c>
      <c r="T319" s="14">
        <v>1029.3494605243195</v>
      </c>
      <c r="U319" s="91">
        <v>7.5920635208571516</v>
      </c>
      <c r="V319" s="12">
        <v>1202.8675170135703</v>
      </c>
      <c r="W319" s="11">
        <v>62.963829369189995</v>
      </c>
      <c r="X319" s="11">
        <v>2211.1673041944705</v>
      </c>
      <c r="Y319" s="11">
        <v>43.388866436339619</v>
      </c>
      <c r="Z319" s="11">
        <v>1.0395476168100284</v>
      </c>
      <c r="AA319" s="11">
        <v>0.65563514011791435</v>
      </c>
      <c r="AB319" s="13">
        <v>18.911076734885789</v>
      </c>
      <c r="AC319" s="14">
        <v>1027.1246888382043</v>
      </c>
      <c r="AD319" s="15">
        <v>4</v>
      </c>
      <c r="AE319" s="9">
        <v>1.2985734212004443</v>
      </c>
      <c r="AF319" s="9">
        <v>6.0090554995362728</v>
      </c>
      <c r="AG319" s="9">
        <v>9.2641257350886619</v>
      </c>
      <c r="AH319" s="9">
        <v>13.995040884283412</v>
      </c>
      <c r="AI319" s="9">
        <v>8.7979544727230046</v>
      </c>
      <c r="AJ319" s="9">
        <v>2.4656363729970185</v>
      </c>
      <c r="AK319" s="9">
        <v>0.65832557815252579</v>
      </c>
      <c r="AL319" s="9">
        <v>1.5846619131096507</v>
      </c>
      <c r="AM319" s="9">
        <v>6.1037074225239527</v>
      </c>
      <c r="AN319" s="9">
        <v>9.2005259666879997</v>
      </c>
      <c r="AO319" s="9">
        <v>9.704278190303242</v>
      </c>
      <c r="AP319" s="9">
        <v>6.3321391072428126</v>
      </c>
      <c r="AQ319" s="9">
        <v>6.1352775013033289</v>
      </c>
      <c r="AR319" s="9">
        <v>1.281126663765956</v>
      </c>
      <c r="AS319" s="9">
        <v>6.0465330502031618</v>
      </c>
      <c r="AT319" s="9">
        <v>9.2993068207901448</v>
      </c>
      <c r="AU319" s="9">
        <v>14.065773791996603</v>
      </c>
      <c r="AV319" s="9">
        <v>8.8405371640553199</v>
      </c>
      <c r="AW319" s="9">
        <v>2.4650265830558644</v>
      </c>
      <c r="AX319" s="9">
        <v>0.65313951207764354</v>
      </c>
      <c r="AY319" s="9">
        <v>1.5983880227467959</v>
      </c>
      <c r="AZ319" s="9">
        <v>6.1372648007043953</v>
      </c>
      <c r="BA319" s="9">
        <v>9.2534072245334578</v>
      </c>
      <c r="BB319" s="9">
        <v>9.7555404445833709</v>
      </c>
      <c r="BC319" s="9">
        <v>6.3759855140429078</v>
      </c>
      <c r="BD319" s="9">
        <v>6.1758033493535747</v>
      </c>
    </row>
    <row r="320" spans="3:56" x14ac:dyDescent="0.25">
      <c r="C320" s="111">
        <v>33.386600000000001</v>
      </c>
      <c r="F320" s="111">
        <v>21.204999999999998</v>
      </c>
      <c r="G320" s="112">
        <v>2</v>
      </c>
      <c r="J320" s="111">
        <v>2235.34</v>
      </c>
      <c r="K320" s="111">
        <v>2006.46</v>
      </c>
      <c r="L320" s="91">
        <v>7.9927049843048916</v>
      </c>
      <c r="M320" s="12">
        <v>442.40325180360492</v>
      </c>
      <c r="N320" s="11">
        <v>13.992206280266005</v>
      </c>
      <c r="O320" s="11">
        <v>1826.4217031479716</v>
      </c>
      <c r="P320" s="11">
        <v>166.04609057176219</v>
      </c>
      <c r="Q320" s="11">
        <v>4.0238610493862748</v>
      </c>
      <c r="R320" s="11">
        <v>2.6158265796103004</v>
      </c>
      <c r="S320" s="13">
        <v>11.001465178139158</v>
      </c>
      <c r="T320" s="14">
        <v>1023.2208080455588</v>
      </c>
      <c r="U320" s="91">
        <v>8.247011527989768</v>
      </c>
      <c r="V320" s="12">
        <v>221.61136254415675</v>
      </c>
      <c r="W320" s="11">
        <v>11.663161603608533</v>
      </c>
      <c r="X320" s="11">
        <v>1835.569410653027</v>
      </c>
      <c r="Y320" s="11">
        <v>159.2274277433643</v>
      </c>
      <c r="Z320" s="11">
        <v>3.833709381826079</v>
      </c>
      <c r="AA320" s="11">
        <v>2.4136365833518325</v>
      </c>
      <c r="AB320" s="13">
        <v>11.258274424849199</v>
      </c>
      <c r="AC320" s="14">
        <v>1026.3963520669099</v>
      </c>
      <c r="AD320" s="15">
        <v>4</v>
      </c>
      <c r="AE320" s="9">
        <v>1.4999321114006181</v>
      </c>
      <c r="AF320" s="9">
        <v>5.8769901242326439</v>
      </c>
      <c r="AG320" s="9">
        <v>9.0340773885632064</v>
      </c>
      <c r="AH320" s="9">
        <v>13.372683334238232</v>
      </c>
      <c r="AI320" s="9">
        <v>8.641734635087607</v>
      </c>
      <c r="AJ320" s="9">
        <v>2.609039473653858</v>
      </c>
      <c r="AK320" s="9">
        <v>0.95124807645810605</v>
      </c>
      <c r="AL320" s="9">
        <v>1.6061081459671991</v>
      </c>
      <c r="AM320" s="9">
        <v>5.9919632158210892</v>
      </c>
      <c r="AN320" s="9">
        <v>8.862998278358857</v>
      </c>
      <c r="AO320" s="9">
        <v>9.4455376622884089</v>
      </c>
      <c r="AP320" s="9">
        <v>6.3927240450430078</v>
      </c>
      <c r="AQ320" s="9">
        <v>6.2056900180090624</v>
      </c>
      <c r="AR320" s="9">
        <v>1.2787757307344882</v>
      </c>
      <c r="AS320" s="9">
        <v>6.0500570095343811</v>
      </c>
      <c r="AT320" s="9">
        <v>9.3087644603501634</v>
      </c>
      <c r="AU320" s="9">
        <v>14.071552043500205</v>
      </c>
      <c r="AV320" s="9">
        <v>8.8455467248021424</v>
      </c>
      <c r="AW320" s="9">
        <v>2.4723870326411013</v>
      </c>
      <c r="AX320" s="9">
        <v>0.6632490237265033</v>
      </c>
      <c r="AY320" s="9">
        <v>1.6006502183543312</v>
      </c>
      <c r="AZ320" s="9">
        <v>6.1414997044066437</v>
      </c>
      <c r="BA320" s="9">
        <v>9.2475852300241179</v>
      </c>
      <c r="BB320" s="9">
        <v>9.7575933865623288</v>
      </c>
      <c r="BC320" s="9">
        <v>6.3899110329287403</v>
      </c>
      <c r="BD320" s="9">
        <v>6.1889637250599403</v>
      </c>
    </row>
    <row r="321" spans="3:56" x14ac:dyDescent="0.25">
      <c r="C321" s="111">
        <v>33.283700000000003</v>
      </c>
      <c r="F321" s="111">
        <v>18.966999999999999</v>
      </c>
      <c r="G321" s="112">
        <v>25</v>
      </c>
      <c r="J321" s="111">
        <v>2227.87</v>
      </c>
      <c r="K321" s="111">
        <v>2002.19</v>
      </c>
      <c r="L321" s="91">
        <v>8.0218103874693902</v>
      </c>
      <c r="M321" s="12">
        <v>407.12698420476789</v>
      </c>
      <c r="N321" s="11">
        <v>13.708072794993257</v>
      </c>
      <c r="O321" s="11">
        <v>1825.5441301865956</v>
      </c>
      <c r="P321" s="11">
        <v>162.93779701841123</v>
      </c>
      <c r="Q321" s="11">
        <v>3.9260218169845933</v>
      </c>
      <c r="R321" s="11">
        <v>2.5375964611590072</v>
      </c>
      <c r="S321" s="13">
        <v>11.108358778214999</v>
      </c>
      <c r="T321" s="14">
        <v>1023.8290966403272</v>
      </c>
      <c r="U321" s="91">
        <v>8.242779274666896</v>
      </c>
      <c r="V321" s="12">
        <v>223.5805540888702</v>
      </c>
      <c r="W321" s="11">
        <v>11.773933743666721</v>
      </c>
      <c r="X321" s="11">
        <v>1833.3144466081483</v>
      </c>
      <c r="Y321" s="11">
        <v>157.10161964818514</v>
      </c>
      <c r="Z321" s="11">
        <v>3.7845738373654574</v>
      </c>
      <c r="AA321" s="11">
        <v>2.3821913228304816</v>
      </c>
      <c r="AB321" s="13">
        <v>11.32555618763231</v>
      </c>
      <c r="AC321" s="14">
        <v>1026.3147978727611</v>
      </c>
      <c r="AD321" s="15">
        <v>4</v>
      </c>
      <c r="AE321" s="9">
        <v>1.4727534861583391</v>
      </c>
      <c r="AF321" s="9">
        <v>5.8973944535750666</v>
      </c>
      <c r="AG321" s="9">
        <v>9.0711808832076528</v>
      </c>
      <c r="AH321" s="9">
        <v>13.463179377225137</v>
      </c>
      <c r="AI321" s="9">
        <v>8.6679322466956172</v>
      </c>
      <c r="AJ321" s="9">
        <v>2.5914718758357265</v>
      </c>
      <c r="AK321" s="9">
        <v>0.9147839985245757</v>
      </c>
      <c r="AL321" s="9">
        <v>1.6037271028330686</v>
      </c>
      <c r="AM321" s="9">
        <v>6.0091131987914661</v>
      </c>
      <c r="AN321" s="9">
        <v>8.9123461436130142</v>
      </c>
      <c r="AO321" s="9">
        <v>9.4841313038304058</v>
      </c>
      <c r="AP321" s="9">
        <v>6.3915811881059179</v>
      </c>
      <c r="AQ321" s="9">
        <v>6.2020510394382171</v>
      </c>
      <c r="AR321" s="9">
        <v>1.2785124405636807</v>
      </c>
      <c r="AS321" s="9">
        <v>6.0504639014973884</v>
      </c>
      <c r="AT321" s="9">
        <v>9.3098355729347819</v>
      </c>
      <c r="AU321" s="9">
        <v>14.072209589836657</v>
      </c>
      <c r="AV321" s="9">
        <v>8.8461173262016768</v>
      </c>
      <c r="AW321" s="9">
        <v>2.4732173122482628</v>
      </c>
      <c r="AX321" s="9">
        <v>0.66435906821102075</v>
      </c>
      <c r="AY321" s="9">
        <v>1.6009125725431708</v>
      </c>
      <c r="AZ321" s="9">
        <v>6.1419967914754139</v>
      </c>
      <c r="BA321" s="9">
        <v>9.247017210632217</v>
      </c>
      <c r="BB321" s="9">
        <v>9.7578310356885947</v>
      </c>
      <c r="BC321" s="9">
        <v>6.3914866399700445</v>
      </c>
      <c r="BD321" s="9">
        <v>6.1904462955773214</v>
      </c>
    </row>
    <row r="322" spans="3:56" x14ac:dyDescent="0.25">
      <c r="C322" s="111">
        <v>33.261299999999999</v>
      </c>
      <c r="F322" s="111">
        <v>17.672000000000001</v>
      </c>
      <c r="G322" s="112">
        <v>50</v>
      </c>
      <c r="J322" s="111">
        <v>2228.5500000000002</v>
      </c>
      <c r="K322" s="111">
        <v>2000.01</v>
      </c>
      <c r="L322" s="91">
        <v>8.0467683039683298</v>
      </c>
      <c r="M322" s="12">
        <v>379.7327139961024</v>
      </c>
      <c r="N322" s="11">
        <v>13.269921250669254</v>
      </c>
      <c r="O322" s="11">
        <v>1822.5479214699583</v>
      </c>
      <c r="P322" s="11">
        <v>164.19215727937234</v>
      </c>
      <c r="Q322" s="11">
        <v>3.9351676446797019</v>
      </c>
      <c r="R322" s="11">
        <v>2.5360998138373594</v>
      </c>
      <c r="S322" s="13">
        <v>11.062389429984208</v>
      </c>
      <c r="T322" s="14">
        <v>1024.2416783891267</v>
      </c>
      <c r="U322" s="91">
        <v>8.2489342443107248</v>
      </c>
      <c r="V322" s="12">
        <v>219.99122232432342</v>
      </c>
      <c r="W322" s="11">
        <v>11.586445604569445</v>
      </c>
      <c r="X322" s="11">
        <v>1829.4968586950649</v>
      </c>
      <c r="Y322" s="11">
        <v>158.92669570036549</v>
      </c>
      <c r="Z322" s="11">
        <v>3.8289899512504459</v>
      </c>
      <c r="AA322" s="11">
        <v>2.4100354657118426</v>
      </c>
      <c r="AB322" s="13">
        <v>11.250757778128273</v>
      </c>
      <c r="AC322" s="14">
        <v>1026.2970449765708</v>
      </c>
      <c r="AD322" s="15">
        <v>4</v>
      </c>
      <c r="AE322" s="9">
        <v>1.4566096676624387</v>
      </c>
      <c r="AF322" s="9">
        <v>5.9089576932180305</v>
      </c>
      <c r="AG322" s="9">
        <v>9.0920948513179987</v>
      </c>
      <c r="AH322" s="9">
        <v>13.515693780353933</v>
      </c>
      <c r="AI322" s="9">
        <v>8.6824485549939165</v>
      </c>
      <c r="AJ322" s="9">
        <v>2.5806668608593775</v>
      </c>
      <c r="AK322" s="9">
        <v>0.89259470455075163</v>
      </c>
      <c r="AL322" s="9">
        <v>1.6021448580029727</v>
      </c>
      <c r="AM322" s="9">
        <v>6.0188082030275742</v>
      </c>
      <c r="AN322" s="9">
        <v>8.9407898003217525</v>
      </c>
      <c r="AO322" s="9">
        <v>9.5062837249634171</v>
      </c>
      <c r="AP322" s="9">
        <v>6.3895535289036562</v>
      </c>
      <c r="AQ322" s="9">
        <v>6.1987566323173473</v>
      </c>
      <c r="AR322" s="9">
        <v>1.2784551256965664</v>
      </c>
      <c r="AS322" s="9">
        <v>6.0505528032554112</v>
      </c>
      <c r="AT322" s="9">
        <v>9.3100690585168024</v>
      </c>
      <c r="AU322" s="9">
        <v>14.072353011632581</v>
      </c>
      <c r="AV322" s="9">
        <v>8.8462417963628681</v>
      </c>
      <c r="AW322" s="9">
        <v>2.4733982149303229</v>
      </c>
      <c r="AX322" s="9">
        <v>0.66460014231440712</v>
      </c>
      <c r="AY322" s="9">
        <v>1.6009699277415215</v>
      </c>
      <c r="AZ322" s="9">
        <v>6.1421056192047541</v>
      </c>
      <c r="BA322" s="9">
        <v>9.246895837962068</v>
      </c>
      <c r="BB322" s="9">
        <v>9.7578829785662204</v>
      </c>
      <c r="BC322" s="9">
        <v>6.391830071806381</v>
      </c>
      <c r="BD322" s="9">
        <v>6.1907692788465774</v>
      </c>
    </row>
    <row r="323" spans="3:56" x14ac:dyDescent="0.25">
      <c r="C323" s="111">
        <v>33.203499999999998</v>
      </c>
      <c r="F323" s="111">
        <v>14.824999999999999</v>
      </c>
      <c r="G323" s="112">
        <v>100</v>
      </c>
      <c r="J323" s="111">
        <v>2218.65</v>
      </c>
      <c r="K323" s="111">
        <v>2016.87</v>
      </c>
      <c r="L323" s="91">
        <v>8.0344451765639331</v>
      </c>
      <c r="M323" s="12">
        <v>388.6389274484265</v>
      </c>
      <c r="N323" s="11">
        <v>14.783551363469622</v>
      </c>
      <c r="O323" s="11">
        <v>1856.1048823526824</v>
      </c>
      <c r="P323" s="11">
        <v>145.9815662838476</v>
      </c>
      <c r="Q323" s="11">
        <v>3.4611852719483509</v>
      </c>
      <c r="R323" s="11">
        <v>2.2173511999832192</v>
      </c>
      <c r="S323" s="13">
        <v>11.83253253344842</v>
      </c>
      <c r="T323" s="14">
        <v>1025.070462339505</v>
      </c>
      <c r="U323" s="91">
        <v>8.1935490164904827</v>
      </c>
      <c r="V323" s="12">
        <v>254.31137000603451</v>
      </c>
      <c r="W323" s="11">
        <v>13.39857293303757</v>
      </c>
      <c r="X323" s="11">
        <v>1861.3361840994778</v>
      </c>
      <c r="Y323" s="11">
        <v>142.13524296748429</v>
      </c>
      <c r="Z323" s="11">
        <v>3.4254742474662763</v>
      </c>
      <c r="AA323" s="11">
        <v>2.1557918521405064</v>
      </c>
      <c r="AB323" s="13">
        <v>12.00343268079987</v>
      </c>
      <c r="AC323" s="14">
        <v>1026.2512368195883</v>
      </c>
      <c r="AD323" s="15">
        <v>4</v>
      </c>
      <c r="AE323" s="9">
        <v>1.4197675243740955</v>
      </c>
      <c r="AF323" s="9">
        <v>5.9356214379803349</v>
      </c>
      <c r="AG323" s="9">
        <v>9.1387496706593971</v>
      </c>
      <c r="AH323" s="9">
        <v>13.633525280327483</v>
      </c>
      <c r="AI323" s="9">
        <v>8.7150644777132307</v>
      </c>
      <c r="AJ323" s="9">
        <v>2.5567424494930022</v>
      </c>
      <c r="AK323" s="9">
        <v>0.84285578718390231</v>
      </c>
      <c r="AL323" s="9">
        <v>1.5992654922894867</v>
      </c>
      <c r="AM323" s="9">
        <v>6.0414672434933943</v>
      </c>
      <c r="AN323" s="9">
        <v>9.004329291785524</v>
      </c>
      <c r="AO323" s="9">
        <v>9.5565109199921565</v>
      </c>
      <c r="AP323" s="9">
        <v>6.3856248811752394</v>
      </c>
      <c r="AQ323" s="9">
        <v>6.1922345193770161</v>
      </c>
      <c r="AR323" s="9">
        <v>1.2783072328698153</v>
      </c>
      <c r="AS323" s="9">
        <v>6.0507827410524841</v>
      </c>
      <c r="AT323" s="9">
        <v>9.3106720603101945</v>
      </c>
      <c r="AU323" s="9">
        <v>14.072723558877563</v>
      </c>
      <c r="AV323" s="9">
        <v>8.8465634000060636</v>
      </c>
      <c r="AW323" s="9">
        <v>2.473865276026427</v>
      </c>
      <c r="AX323" s="9">
        <v>0.66522126795284986</v>
      </c>
      <c r="AY323" s="9">
        <v>1.601118328872319</v>
      </c>
      <c r="AZ323" s="9">
        <v>6.1423874576048991</v>
      </c>
      <c r="BA323" s="9">
        <v>9.2465864255012651</v>
      </c>
      <c r="BB323" s="9">
        <v>9.7580173571162909</v>
      </c>
      <c r="BC323" s="9">
        <v>6.392716983803119</v>
      </c>
      <c r="BD323" s="9">
        <v>6.1916031031048249</v>
      </c>
    </row>
    <row r="324" spans="3:56" x14ac:dyDescent="0.25">
      <c r="C324" s="111">
        <v>33.562399999999997</v>
      </c>
      <c r="F324" s="111">
        <v>9.4480000000000004</v>
      </c>
      <c r="G324" s="112">
        <v>170</v>
      </c>
      <c r="J324" s="111">
        <v>2227.09</v>
      </c>
      <c r="K324" s="111">
        <v>2126.9699999999998</v>
      </c>
      <c r="L324" s="91">
        <v>7.8491204242219057</v>
      </c>
      <c r="M324" s="12">
        <v>617.05245636907455</v>
      </c>
      <c r="N324" s="11">
        <v>27.806007885451052</v>
      </c>
      <c r="O324" s="11">
        <v>2014.2803876760911</v>
      </c>
      <c r="P324" s="11">
        <v>84.883604438457553</v>
      </c>
      <c r="Q324" s="11">
        <v>1.9760697744122364</v>
      </c>
      <c r="R324" s="11">
        <v>1.2550784998202065</v>
      </c>
      <c r="S324" s="13">
        <v>15.964612140557669</v>
      </c>
      <c r="T324" s="14">
        <v>1026.6924945672765</v>
      </c>
      <c r="U324" s="91">
        <v>7.9243061490293449</v>
      </c>
      <c r="V324" s="12">
        <v>511.55193955888041</v>
      </c>
      <c r="W324" s="11">
        <v>26.894544023448866</v>
      </c>
      <c r="X324" s="11">
        <v>2016.5211449990165</v>
      </c>
      <c r="Y324" s="11">
        <v>83.554310977534314</v>
      </c>
      <c r="Z324" s="11">
        <v>2.0098645190263071</v>
      </c>
      <c r="AA324" s="11">
        <v>1.2658288971278961</v>
      </c>
      <c r="AB324" s="13">
        <v>16.156013517418085</v>
      </c>
      <c r="AC324" s="14">
        <v>1026.5356906910829</v>
      </c>
      <c r="AD324" s="15">
        <v>4</v>
      </c>
      <c r="AE324" s="9">
        <v>1.3461834439099625</v>
      </c>
      <c r="AF324" s="9">
        <v>5.9891391416248663</v>
      </c>
      <c r="AG324" s="9">
        <v>9.2244165355419216</v>
      </c>
      <c r="AH324" s="9">
        <v>13.862112115624804</v>
      </c>
      <c r="AI324" s="9">
        <v>8.7770870006440322</v>
      </c>
      <c r="AJ324" s="9">
        <v>2.5069340901023214</v>
      </c>
      <c r="AK324" s="9">
        <v>0.7406541706984886</v>
      </c>
      <c r="AL324" s="9">
        <v>1.5949317186759091</v>
      </c>
      <c r="AM324" s="9">
        <v>6.0871278017950283</v>
      </c>
      <c r="AN324" s="9">
        <v>9.1306516497692325</v>
      </c>
      <c r="AO324" s="9">
        <v>9.6564183328419499</v>
      </c>
      <c r="AP324" s="9">
        <v>6.3730073719219957</v>
      </c>
      <c r="AQ324" s="9">
        <v>6.1758759865345088</v>
      </c>
      <c r="AR324" s="9">
        <v>1.2792255500933607</v>
      </c>
      <c r="AS324" s="9">
        <v>6.049367554249395</v>
      </c>
      <c r="AT324" s="9">
        <v>9.306940067162575</v>
      </c>
      <c r="AU324" s="9">
        <v>14.070433563830905</v>
      </c>
      <c r="AV324" s="9">
        <v>8.8445763629795149</v>
      </c>
      <c r="AW324" s="9">
        <v>2.4709713442226313</v>
      </c>
      <c r="AX324" s="9">
        <v>0.6613425250404924</v>
      </c>
      <c r="AY324" s="9">
        <v>1.6002062397321941</v>
      </c>
      <c r="AZ324" s="9">
        <v>6.1406611983936319</v>
      </c>
      <c r="BA324" s="9">
        <v>9.2485952491675274</v>
      </c>
      <c r="BB324" s="9">
        <v>9.75719101809932</v>
      </c>
      <c r="BC324" s="9">
        <v>6.3872268307450089</v>
      </c>
      <c r="BD324" s="9">
        <v>6.186435053061718</v>
      </c>
    </row>
    <row r="325" spans="3:56" x14ac:dyDescent="0.25">
      <c r="C325" s="111">
        <v>33.921300000000002</v>
      </c>
      <c r="F325" s="111">
        <v>8.5670000000000002</v>
      </c>
      <c r="G325" s="112">
        <v>230</v>
      </c>
      <c r="J325" s="112">
        <v>2250</v>
      </c>
      <c r="K325" s="111">
        <v>2171.4499999999998</v>
      </c>
      <c r="L325" s="91">
        <v>7.7884900563950339</v>
      </c>
      <c r="M325" s="12">
        <v>717.08652827958861</v>
      </c>
      <c r="N325" s="11">
        <v>33.216314177539942</v>
      </c>
      <c r="O325" s="11">
        <v>2064.253812369358</v>
      </c>
      <c r="P325" s="11">
        <v>73.979873453101931</v>
      </c>
      <c r="Q325" s="11">
        <v>1.6987816046323434</v>
      </c>
      <c r="R325" s="11">
        <v>1.0789584222597846</v>
      </c>
      <c r="S325" s="13">
        <v>16.993000074373303</v>
      </c>
      <c r="T325" s="14">
        <v>1027.3879200351753</v>
      </c>
      <c r="U325" s="91">
        <v>7.8518510965205577</v>
      </c>
      <c r="V325" s="12">
        <v>618.57242751442777</v>
      </c>
      <c r="W325" s="11">
        <v>32.452390288104347</v>
      </c>
      <c r="X325" s="11">
        <v>2065.9292646293575</v>
      </c>
      <c r="Y325" s="11">
        <v>73.068345082537647</v>
      </c>
      <c r="Z325" s="11">
        <v>1.7542689182456754</v>
      </c>
      <c r="AA325" s="11">
        <v>1.1056266655857498</v>
      </c>
      <c r="AB325" s="13">
        <v>17.172890813009392</v>
      </c>
      <c r="AC325" s="14">
        <v>1026.8201814028146</v>
      </c>
      <c r="AD325" s="15">
        <v>4</v>
      </c>
      <c r="AE325" s="9">
        <v>1.3342201239598541</v>
      </c>
      <c r="AF325" s="9">
        <v>5.9950784006887421</v>
      </c>
      <c r="AG325" s="9">
        <v>9.2341395676470395</v>
      </c>
      <c r="AH325" s="9">
        <v>13.896992983615277</v>
      </c>
      <c r="AI325" s="9">
        <v>8.7833254791185222</v>
      </c>
      <c r="AJ325" s="9">
        <v>2.4953134149479852</v>
      </c>
      <c r="AK325" s="9">
        <v>0.71862731424017467</v>
      </c>
      <c r="AL325" s="9">
        <v>1.5924810398393769</v>
      </c>
      <c r="AM325" s="9">
        <v>6.0917865479413473</v>
      </c>
      <c r="AN325" s="9">
        <v>9.1512475017305128</v>
      </c>
      <c r="AO325" s="9">
        <v>9.6702058757370857</v>
      </c>
      <c r="AP325" s="9">
        <v>6.3624333961719604</v>
      </c>
      <c r="AQ325" s="9">
        <v>6.1653005560503793</v>
      </c>
      <c r="AR325" s="9">
        <v>1.2801438673169063</v>
      </c>
      <c r="AS325" s="9">
        <v>6.0479823392672829</v>
      </c>
      <c r="AT325" s="9">
        <v>9.3032372729806756</v>
      </c>
      <c r="AU325" s="9">
        <v>14.068169204094845</v>
      </c>
      <c r="AV325" s="9">
        <v>8.8426128131073209</v>
      </c>
      <c r="AW325" s="9">
        <v>2.4680920669894251</v>
      </c>
      <c r="AX325" s="9">
        <v>0.6574100697423273</v>
      </c>
      <c r="AY325" s="9">
        <v>1.5993163030617383</v>
      </c>
      <c r="AZ325" s="9">
        <v>6.1389910548960085</v>
      </c>
      <c r="BA325" s="9">
        <v>9.250810802643187</v>
      </c>
      <c r="BB325" s="9">
        <v>9.7563837086035132</v>
      </c>
      <c r="BC325" s="9">
        <v>6.3817763282522852</v>
      </c>
      <c r="BD325" s="9">
        <v>6.1812886640454732</v>
      </c>
    </row>
    <row r="326" spans="3:56" x14ac:dyDescent="0.25">
      <c r="C326" s="111">
        <v>34.040999999999997</v>
      </c>
      <c r="F326" s="111">
        <v>7.1840000000000002</v>
      </c>
      <c r="G326" s="112">
        <v>320</v>
      </c>
      <c r="J326" s="111">
        <v>2270.19</v>
      </c>
      <c r="K326" s="111">
        <v>2242.8200000000002</v>
      </c>
      <c r="L326" s="91">
        <v>7.6340549211317956</v>
      </c>
      <c r="M326" s="12">
        <v>1040.0495884675929</v>
      </c>
      <c r="N326" s="11">
        <v>50.479313484319448</v>
      </c>
      <c r="O326" s="11">
        <v>2141.0019907138662</v>
      </c>
      <c r="P326" s="11">
        <v>51.338695801814097</v>
      </c>
      <c r="Q326" s="11">
        <v>1.1572210525670941</v>
      </c>
      <c r="R326" s="11">
        <v>0.73443637292758202</v>
      </c>
      <c r="S326" s="13">
        <v>18.706986377534804</v>
      </c>
      <c r="T326" s="14">
        <v>1028.1018171499229</v>
      </c>
      <c r="U326" s="91">
        <v>7.6790091108062581</v>
      </c>
      <c r="V326" s="12">
        <v>954.41835639006979</v>
      </c>
      <c r="W326" s="11">
        <v>50.03669773776528</v>
      </c>
      <c r="X326" s="11">
        <v>2141.7597085676866</v>
      </c>
      <c r="Y326" s="11">
        <v>51.023593694547941</v>
      </c>
      <c r="Z326" s="11">
        <v>1.2242172614132312</v>
      </c>
      <c r="AA326" s="11">
        <v>0.77173510445166993</v>
      </c>
      <c r="AB326" s="13">
        <v>18.83314945573445</v>
      </c>
      <c r="AC326" s="14">
        <v>1026.9150727580281</v>
      </c>
      <c r="AD326" s="15">
        <v>4</v>
      </c>
      <c r="AE326" s="9">
        <v>1.3139406065983967</v>
      </c>
      <c r="AF326" s="9">
        <v>6.0065512899250351</v>
      </c>
      <c r="AG326" s="9">
        <v>9.2542271604920092</v>
      </c>
      <c r="AH326" s="9">
        <v>13.955484564362951</v>
      </c>
      <c r="AI326" s="9">
        <v>8.7959091794672002</v>
      </c>
      <c r="AJ326" s="9">
        <v>2.4806132614843293</v>
      </c>
      <c r="AK326" s="9">
        <v>0.68807091406002641</v>
      </c>
      <c r="AL326" s="9">
        <v>1.5900644114248284</v>
      </c>
      <c r="AM326" s="9">
        <v>6.1017871471205058</v>
      </c>
      <c r="AN326" s="9">
        <v>9.1817998103647831</v>
      </c>
      <c r="AO326" s="9">
        <v>9.6934054864913701</v>
      </c>
      <c r="AP326" s="9">
        <v>6.3528511030724193</v>
      </c>
      <c r="AQ326" s="9">
        <v>6.1553889543286768</v>
      </c>
      <c r="AR326" s="9">
        <v>1.28045014363805</v>
      </c>
      <c r="AS326" s="9">
        <v>6.0475270064963835</v>
      </c>
      <c r="AT326" s="9">
        <v>9.3020088114478465</v>
      </c>
      <c r="AU326" s="9">
        <v>14.067419627109738</v>
      </c>
      <c r="AV326" s="9">
        <v>8.8419631166235959</v>
      </c>
      <c r="AW326" s="9">
        <v>2.4671349899543356</v>
      </c>
      <c r="AX326" s="9">
        <v>0.65608619623395259</v>
      </c>
      <c r="AY326" s="9">
        <v>1.599024357475707</v>
      </c>
      <c r="AZ326" s="9">
        <v>6.1384463546851382</v>
      </c>
      <c r="BA326" s="9">
        <v>9.2515951354476815</v>
      </c>
      <c r="BB326" s="9">
        <v>9.7561186334993018</v>
      </c>
      <c r="BC326" s="9">
        <v>6.3799670640861201</v>
      </c>
      <c r="BD326" s="9">
        <v>6.1795768210999311</v>
      </c>
    </row>
    <row r="327" spans="3:56" x14ac:dyDescent="0.25">
      <c r="C327" s="111">
        <v>34.248800000000003</v>
      </c>
      <c r="F327" s="111">
        <v>5.9630000000000001</v>
      </c>
      <c r="G327" s="112">
        <v>515</v>
      </c>
      <c r="J327" s="111">
        <v>2316.69</v>
      </c>
      <c r="K327" s="111">
        <v>2325.44</v>
      </c>
      <c r="L327" s="91">
        <v>7.5191474560670457</v>
      </c>
      <c r="M327" s="12">
        <v>1360.6506345086284</v>
      </c>
      <c r="N327" s="11">
        <v>68.841287759858702</v>
      </c>
      <c r="O327" s="11">
        <v>2217.0318161426849</v>
      </c>
      <c r="P327" s="11">
        <v>39.566896097456016</v>
      </c>
      <c r="Q327" s="11">
        <v>0.85706130847432727</v>
      </c>
      <c r="R327" s="11">
        <v>0.54451990191592592</v>
      </c>
      <c r="S327" s="13">
        <v>18.75711255809675</v>
      </c>
      <c r="T327" s="14">
        <v>1029.327816827142</v>
      </c>
      <c r="U327" s="91">
        <v>7.5544464560895168</v>
      </c>
      <c r="V327" s="12">
        <v>1315.2065625214261</v>
      </c>
      <c r="W327" s="11">
        <v>68.867152431086581</v>
      </c>
      <c r="X327" s="11">
        <v>2216.7367601658684</v>
      </c>
      <c r="Y327" s="11">
        <v>39.83608740304463</v>
      </c>
      <c r="Z327" s="11">
        <v>0.95472052278582131</v>
      </c>
      <c r="AA327" s="11">
        <v>0.60207469505351807</v>
      </c>
      <c r="AB327" s="13">
        <v>18.750401557183466</v>
      </c>
      <c r="AC327" s="14">
        <v>1027.0798146902166</v>
      </c>
      <c r="AD327" s="15">
        <v>4</v>
      </c>
      <c r="AE327" s="9">
        <v>1.2958976427856115</v>
      </c>
      <c r="AF327" s="9">
        <v>6.0112245161789417</v>
      </c>
      <c r="AG327" s="9">
        <v>9.2675873991698605</v>
      </c>
      <c r="AH327" s="9">
        <v>14.002968644551441</v>
      </c>
      <c r="AI327" s="9">
        <v>8.8004239185747739</v>
      </c>
      <c r="AJ327" s="9">
        <v>2.4646231134471561</v>
      </c>
      <c r="AK327" s="9">
        <v>0.65570261339738778</v>
      </c>
      <c r="AL327" s="9">
        <v>1.5848404442306316</v>
      </c>
      <c r="AM327" s="9">
        <v>6.1057139288446169</v>
      </c>
      <c r="AN327" s="9">
        <v>9.2042506251185632</v>
      </c>
      <c r="AO327" s="9">
        <v>9.7078256388665931</v>
      </c>
      <c r="AP327" s="9">
        <v>6.3329164661649306</v>
      </c>
      <c r="AQ327" s="9">
        <v>6.1359183342041126</v>
      </c>
      <c r="AR327" s="9">
        <v>1.2809818413785148</v>
      </c>
      <c r="AS327" s="9">
        <v>6.0467444586757075</v>
      </c>
      <c r="AT327" s="9">
        <v>9.2998839027658509</v>
      </c>
      <c r="AU327" s="9">
        <v>14.066124977406963</v>
      </c>
      <c r="AV327" s="9">
        <v>8.8408413623336912</v>
      </c>
      <c r="AW327" s="9">
        <v>2.4654772791723896</v>
      </c>
      <c r="AX327" s="9">
        <v>0.65377293620626042</v>
      </c>
      <c r="AY327" s="9">
        <v>1.5985232594104308</v>
      </c>
      <c r="AZ327" s="9">
        <v>6.1375152447497596</v>
      </c>
      <c r="BA327" s="9">
        <v>9.253010135525221</v>
      </c>
      <c r="BB327" s="9">
        <v>9.7556633732452251</v>
      </c>
      <c r="BC327" s="9">
        <v>6.3768361408495986</v>
      </c>
      <c r="BD327" s="9">
        <v>6.1766102569146693</v>
      </c>
    </row>
    <row r="328" spans="3:56" x14ac:dyDescent="0.25">
      <c r="C328" s="111">
        <v>33.459200000000003</v>
      </c>
      <c r="F328" s="111">
        <v>20.443000000000001</v>
      </c>
      <c r="G328" s="112">
        <v>2</v>
      </c>
      <c r="J328" s="111">
        <v>2237.5</v>
      </c>
      <c r="K328" s="111">
        <v>1995.98</v>
      </c>
      <c r="L328" s="91">
        <v>8.0281171829858859</v>
      </c>
      <c r="M328" s="12">
        <v>401.95755319571464</v>
      </c>
      <c r="N328" s="11">
        <v>12.975581118138477</v>
      </c>
      <c r="O328" s="11">
        <v>1809.2851252801856</v>
      </c>
      <c r="P328" s="11">
        <v>173.71929360167596</v>
      </c>
      <c r="Q328" s="11">
        <v>4.2032982742960812</v>
      </c>
      <c r="R328" s="11">
        <v>2.7273718862102401</v>
      </c>
      <c r="S328" s="13">
        <v>10.712956800100937</v>
      </c>
      <c r="T328" s="14">
        <v>1023.480332451835</v>
      </c>
      <c r="U328" s="91">
        <v>8.2714863370805727</v>
      </c>
      <c r="V328" s="12">
        <v>207.40813663757848</v>
      </c>
      <c r="W328" s="11">
        <v>10.910993510774642</v>
      </c>
      <c r="X328" s="11">
        <v>1817.9386401926668</v>
      </c>
      <c r="Y328" s="11">
        <v>167.13036629655869</v>
      </c>
      <c r="Z328" s="11">
        <v>4.0224474196610869</v>
      </c>
      <c r="AA328" s="11">
        <v>2.5328403725925099</v>
      </c>
      <c r="AB328" s="13">
        <v>10.933428029541435</v>
      </c>
      <c r="AC328" s="14">
        <v>1026.4538935707633</v>
      </c>
      <c r="AD328" s="15">
        <v>4</v>
      </c>
      <c r="AE328" s="9">
        <v>1.4910533768549254</v>
      </c>
      <c r="AF328" s="9">
        <v>5.8837369873163237</v>
      </c>
      <c r="AG328" s="9">
        <v>9.0457761410021593</v>
      </c>
      <c r="AH328" s="9">
        <v>13.40272771957186</v>
      </c>
      <c r="AI328" s="9">
        <v>8.6503674489229248</v>
      </c>
      <c r="AJ328" s="9">
        <v>2.6023650530385316</v>
      </c>
      <c r="AK328" s="9">
        <v>0.93832899016259541</v>
      </c>
      <c r="AL328" s="9">
        <v>1.6050633310061186</v>
      </c>
      <c r="AM328" s="9">
        <v>5.9973508752998956</v>
      </c>
      <c r="AN328" s="9">
        <v>8.8802788276627176</v>
      </c>
      <c r="AO328" s="9">
        <v>9.4586718122534794</v>
      </c>
      <c r="AP328" s="9">
        <v>6.3911085203967932</v>
      </c>
      <c r="AQ328" s="9">
        <v>6.2032626703824407</v>
      </c>
      <c r="AR328" s="9">
        <v>1.2789614923127257</v>
      </c>
      <c r="AS328" s="9">
        <v>6.0497714139132599</v>
      </c>
      <c r="AT328" s="9">
        <v>9.3080101927137981</v>
      </c>
      <c r="AU328" s="9">
        <v>14.071089397116241</v>
      </c>
      <c r="AV328" s="9">
        <v>8.8451453104273607</v>
      </c>
      <c r="AW328" s="9">
        <v>2.4718019687744905</v>
      </c>
      <c r="AX328" s="9">
        <v>0.66246324384270927</v>
      </c>
      <c r="AY328" s="9">
        <v>1.6004662218949586</v>
      </c>
      <c r="AZ328" s="9">
        <v>6.1411517884134286</v>
      </c>
      <c r="BA328" s="9">
        <v>9.2479962997059353</v>
      </c>
      <c r="BB328" s="9">
        <v>9.7574266649609402</v>
      </c>
      <c r="BC328" s="9">
        <v>6.3888013764355618</v>
      </c>
      <c r="BD328" s="9">
        <v>6.1879188206828522</v>
      </c>
    </row>
    <row r="329" spans="3:56" x14ac:dyDescent="0.25">
      <c r="C329" s="111">
        <v>33.2879</v>
      </c>
      <c r="F329" s="111">
        <v>13.952999999999999</v>
      </c>
      <c r="G329" s="112">
        <v>30</v>
      </c>
      <c r="J329" s="111">
        <v>2225.36</v>
      </c>
      <c r="K329" s="111">
        <v>2032.09</v>
      </c>
      <c r="L329" s="91">
        <v>8.0295987293299973</v>
      </c>
      <c r="M329" s="12">
        <v>397.4789443999029</v>
      </c>
      <c r="N329" s="11">
        <v>15.522233438577569</v>
      </c>
      <c r="O329" s="11">
        <v>1875.8956448718579</v>
      </c>
      <c r="P329" s="11">
        <v>140.67212168956431</v>
      </c>
      <c r="Q329" s="11">
        <v>3.3716439306012789</v>
      </c>
      <c r="R329" s="11">
        <v>2.1546540746010505</v>
      </c>
      <c r="S329" s="13">
        <v>12.129418361567186</v>
      </c>
      <c r="T329" s="14">
        <v>1025.0085728088347</v>
      </c>
      <c r="U329" s="91">
        <v>8.172388719276972</v>
      </c>
      <c r="V329" s="12">
        <v>269.72922837374341</v>
      </c>
      <c r="W329" s="11">
        <v>14.203808974209709</v>
      </c>
      <c r="X329" s="11">
        <v>1880.8159397377533</v>
      </c>
      <c r="Y329" s="11">
        <v>137.07025128803693</v>
      </c>
      <c r="Z329" s="11">
        <v>3.301945895119367</v>
      </c>
      <c r="AA329" s="11">
        <v>2.0784205830664551</v>
      </c>
      <c r="AB329" s="13">
        <v>12.297567490876334</v>
      </c>
      <c r="AC329" s="14">
        <v>1026.3181265566111</v>
      </c>
      <c r="AD329" s="15">
        <v>4</v>
      </c>
      <c r="AE329" s="9">
        <v>1.4083599172811985</v>
      </c>
      <c r="AF329" s="9">
        <v>5.9473442646937302</v>
      </c>
      <c r="AG329" s="9">
        <v>9.1545993667006282</v>
      </c>
      <c r="AH329" s="9">
        <v>13.672390152284791</v>
      </c>
      <c r="AI329" s="9">
        <v>8.7288910686452468</v>
      </c>
      <c r="AJ329" s="9">
        <v>2.5500591878565695</v>
      </c>
      <c r="AK329" s="9">
        <v>0.82908812419752076</v>
      </c>
      <c r="AL329" s="9">
        <v>1.6001993883217067</v>
      </c>
      <c r="AM329" s="9">
        <v>6.0514367826457303</v>
      </c>
      <c r="AN329" s="9">
        <v>9.0281231397812807</v>
      </c>
      <c r="AO329" s="9">
        <v>9.5762992751893385</v>
      </c>
      <c r="AP329" s="9">
        <v>6.3892291864393833</v>
      </c>
      <c r="AQ329" s="9">
        <v>6.1947650376113836</v>
      </c>
      <c r="AR329" s="9">
        <v>1.278523187101265</v>
      </c>
      <c r="AS329" s="9">
        <v>6.0504472454198783</v>
      </c>
      <c r="AT329" s="9">
        <v>9.3097918070551113</v>
      </c>
      <c r="AU329" s="9">
        <v>14.072182709509649</v>
      </c>
      <c r="AV329" s="9">
        <v>8.8460939983097315</v>
      </c>
      <c r="AW329" s="9">
        <v>2.4731833994354337</v>
      </c>
      <c r="AX329" s="9">
        <v>0.66431384428724183</v>
      </c>
      <c r="AY329" s="9">
        <v>1.6009018281734508</v>
      </c>
      <c r="AZ329" s="9">
        <v>6.1419764109237178</v>
      </c>
      <c r="BA329" s="9">
        <v>9.2470400588092598</v>
      </c>
      <c r="BB329" s="9">
        <v>9.757821304760105</v>
      </c>
      <c r="BC329" s="9">
        <v>6.3914222641718332</v>
      </c>
      <c r="BD329" s="9">
        <v>6.1903857460964566</v>
      </c>
    </row>
    <row r="330" spans="3:56" x14ac:dyDescent="0.25">
      <c r="C330" s="111">
        <v>33.330100000000002</v>
      </c>
      <c r="F330" s="111">
        <v>11.58</v>
      </c>
      <c r="G330" s="112">
        <v>50</v>
      </c>
      <c r="J330" s="111">
        <v>2219.7800000000002</v>
      </c>
      <c r="K330" s="111">
        <v>2090.91</v>
      </c>
      <c r="L330" s="91">
        <v>7.9064688965379544</v>
      </c>
      <c r="M330" s="12">
        <v>543.11853686414656</v>
      </c>
      <c r="N330" s="11">
        <v>22.852671505122263</v>
      </c>
      <c r="O330" s="11">
        <v>1966.583823524247</v>
      </c>
      <c r="P330" s="11">
        <v>101.47350497063027</v>
      </c>
      <c r="Q330" s="11">
        <v>2.4201391410878066</v>
      </c>
      <c r="R330" s="11">
        <v>1.5399370039902331</v>
      </c>
      <c r="S330" s="13">
        <v>14.586219881629003</v>
      </c>
      <c r="T330" s="14">
        <v>1025.5960893179665</v>
      </c>
      <c r="U330" s="91">
        <v>8.0108521853754446</v>
      </c>
      <c r="V330" s="12">
        <v>409.80742134246492</v>
      </c>
      <c r="W330" s="11">
        <v>21.574893207831856</v>
      </c>
      <c r="X330" s="11">
        <v>1970.247207810756</v>
      </c>
      <c r="Y330" s="11">
        <v>99.087898981411712</v>
      </c>
      <c r="Z330" s="11">
        <v>2.3864430112078532</v>
      </c>
      <c r="AA330" s="11">
        <v>1.5022868251108898</v>
      </c>
      <c r="AB330" s="13">
        <v>14.812423216133341</v>
      </c>
      <c r="AC330" s="14">
        <v>1026.3515721812696</v>
      </c>
      <c r="AD330" s="15">
        <v>4</v>
      </c>
      <c r="AE330" s="9">
        <v>1.3759576487716436</v>
      </c>
      <c r="AF330" s="9">
        <v>5.9716934109889221</v>
      </c>
      <c r="AG330" s="9">
        <v>9.1938286975249834</v>
      </c>
      <c r="AH330" s="9">
        <v>13.773897492053409</v>
      </c>
      <c r="AI330" s="9">
        <v>8.75739845902722</v>
      </c>
      <c r="AJ330" s="9">
        <v>2.529303874892503</v>
      </c>
      <c r="AK330" s="9">
        <v>0.78580409927883788</v>
      </c>
      <c r="AL330" s="9">
        <v>1.5987980070411085</v>
      </c>
      <c r="AM330" s="9">
        <v>6.0723720566952819</v>
      </c>
      <c r="AN330" s="9">
        <v>9.0836964906022306</v>
      </c>
      <c r="AO330" s="9">
        <v>9.6209443526563767</v>
      </c>
      <c r="AP330" s="9">
        <v>6.3865329759488558</v>
      </c>
      <c r="AQ330" s="9">
        <v>6.1901955953588592</v>
      </c>
      <c r="AR330" s="9">
        <v>1.2786311642169896</v>
      </c>
      <c r="AS330" s="9">
        <v>6.0502801193758389</v>
      </c>
      <c r="AT330" s="9">
        <v>9.3093522861722704</v>
      </c>
      <c r="AU330" s="9">
        <v>14.071912823365825</v>
      </c>
      <c r="AV330" s="9">
        <v>8.8458597883058445</v>
      </c>
      <c r="AW330" s="9">
        <v>2.4728427691627441</v>
      </c>
      <c r="AX330" s="9">
        <v>0.66385905557794844</v>
      </c>
      <c r="AY330" s="9">
        <v>1.6007940431975096</v>
      </c>
      <c r="AZ330" s="9">
        <v>6.1417720664478814</v>
      </c>
      <c r="BA330" s="9">
        <v>9.2472712183909245</v>
      </c>
      <c r="BB330" s="9">
        <v>9.7577236784840533</v>
      </c>
      <c r="BC330" s="9">
        <v>6.3907757497099178</v>
      </c>
      <c r="BD330" s="9">
        <v>6.1897775404804998</v>
      </c>
    </row>
    <row r="331" spans="3:56" x14ac:dyDescent="0.25">
      <c r="C331" s="111">
        <v>33.703099999999999</v>
      </c>
      <c r="F331" s="111">
        <v>10.56</v>
      </c>
      <c r="G331" s="112">
        <v>100</v>
      </c>
      <c r="J331" s="111">
        <v>2239.08</v>
      </c>
      <c r="K331" s="111">
        <v>2157.41</v>
      </c>
      <c r="L331" s="91">
        <v>7.7765345047473708</v>
      </c>
      <c r="M331" s="12">
        <v>752.77545103102125</v>
      </c>
      <c r="N331" s="11">
        <v>32.67109651344856</v>
      </c>
      <c r="O331" s="11">
        <v>2048.522318705292</v>
      </c>
      <c r="P331" s="11">
        <v>76.216584781259371</v>
      </c>
      <c r="Q331" s="11">
        <v>1.796658994477873</v>
      </c>
      <c r="R331" s="11">
        <v>1.1426460874922262</v>
      </c>
      <c r="S331" s="13">
        <v>16.726210989257041</v>
      </c>
      <c r="T331" s="14">
        <v>1026.295583465743</v>
      </c>
      <c r="U331" s="91">
        <v>7.8648163761628975</v>
      </c>
      <c r="V331" s="12">
        <v>596.62583913175501</v>
      </c>
      <c r="W331" s="11">
        <v>31.341263380408815</v>
      </c>
      <c r="X331" s="11">
        <v>2051.6909348899812</v>
      </c>
      <c r="Y331" s="11">
        <v>74.377801729609899</v>
      </c>
      <c r="Z331" s="11">
        <v>1.7877907379371598</v>
      </c>
      <c r="AA331" s="11">
        <v>1.1262797429698441</v>
      </c>
      <c r="AB331" s="13">
        <v>17.033023413388012</v>
      </c>
      <c r="AC331" s="14">
        <v>1026.6472155118624</v>
      </c>
      <c r="AD331" s="15">
        <v>4</v>
      </c>
      <c r="AE331" s="9">
        <v>1.3625017371597214</v>
      </c>
      <c r="AF331" s="9">
        <v>5.9792575153751004</v>
      </c>
      <c r="AG331" s="9">
        <v>9.2059257203113329</v>
      </c>
      <c r="AH331" s="9">
        <v>13.814351871163133</v>
      </c>
      <c r="AI331" s="9">
        <v>8.7656926766127725</v>
      </c>
      <c r="AJ331" s="9">
        <v>2.5166648278503563</v>
      </c>
      <c r="AK331" s="9">
        <v>0.76211652658724216</v>
      </c>
      <c r="AL331" s="9">
        <v>1.5963474821072785</v>
      </c>
      <c r="AM331" s="9">
        <v>6.078265225213654</v>
      </c>
      <c r="AN331" s="9">
        <v>9.1075852136437767</v>
      </c>
      <c r="AO331" s="9">
        <v>9.6375681138258642</v>
      </c>
      <c r="AP331" s="9">
        <v>6.3766282410657711</v>
      </c>
      <c r="AQ331" s="9">
        <v>6.1800743220554395</v>
      </c>
      <c r="AR331" s="9">
        <v>1.2795855591024241</v>
      </c>
      <c r="AS331" s="9">
        <v>6.0488209356666403</v>
      </c>
      <c r="AT331" s="9">
        <v>9.3054849773122719</v>
      </c>
      <c r="AU331" s="9">
        <v>14.069542831835427</v>
      </c>
      <c r="AV331" s="9">
        <v>8.8438038034558417</v>
      </c>
      <c r="AW331" s="9">
        <v>2.4698408447894242</v>
      </c>
      <c r="AX331" s="9">
        <v>0.65980740281622074</v>
      </c>
      <c r="AY331" s="9">
        <v>1.5998547364430775</v>
      </c>
      <c r="AZ331" s="9">
        <v>6.1399998122807382</v>
      </c>
      <c r="BA331" s="9">
        <v>9.2494393618827537</v>
      </c>
      <c r="BB331" s="9">
        <v>9.7568722770864404</v>
      </c>
      <c r="BC331" s="9">
        <v>6.3850854140896667</v>
      </c>
      <c r="BD331" s="9">
        <v>6.1844150041595389</v>
      </c>
    </row>
    <row r="332" spans="3:56" x14ac:dyDescent="0.25">
      <c r="C332" s="111">
        <v>34.058999999999997</v>
      </c>
      <c r="F332" s="111">
        <v>10.231999999999999</v>
      </c>
      <c r="G332" s="112">
        <v>170</v>
      </c>
      <c r="J332" s="111">
        <v>2260.9299999999998</v>
      </c>
      <c r="K332" s="111">
        <v>2208.5300000000002</v>
      </c>
      <c r="L332" s="91">
        <v>7.6801872452532312</v>
      </c>
      <c r="M332" s="12">
        <v>954.99351775770003</v>
      </c>
      <c r="N332" s="11">
        <v>41.810772200138487</v>
      </c>
      <c r="O332" s="11">
        <v>2103.998386766264</v>
      </c>
      <c r="P332" s="11">
        <v>62.720841033597594</v>
      </c>
      <c r="Q332" s="11">
        <v>1.4564004249355473</v>
      </c>
      <c r="R332" s="11">
        <v>0.92710937915888147</v>
      </c>
      <c r="S332" s="13">
        <v>17.846678343027268</v>
      </c>
      <c r="T332" s="14">
        <v>1026.9462258538799</v>
      </c>
      <c r="U332" s="91">
        <v>7.764376431099639</v>
      </c>
      <c r="V332" s="12">
        <v>771.3251359587955</v>
      </c>
      <c r="W332" s="11">
        <v>40.433495144988186</v>
      </c>
      <c r="X332" s="11">
        <v>2106.9726182204754</v>
      </c>
      <c r="Y332" s="11">
        <v>61.123886634536426</v>
      </c>
      <c r="Z332" s="11">
        <v>1.4664129772211505</v>
      </c>
      <c r="AA332" s="11">
        <v>0.92444383098681704</v>
      </c>
      <c r="AB332" s="13">
        <v>18.207395788516166</v>
      </c>
      <c r="AC332" s="14">
        <v>1026.9293424947355</v>
      </c>
      <c r="AD332" s="15">
        <v>4</v>
      </c>
      <c r="AE332" s="9">
        <v>1.3587122351402097</v>
      </c>
      <c r="AF332" s="9">
        <v>5.9784300313432155</v>
      </c>
      <c r="AG332" s="9">
        <v>9.2058207745029463</v>
      </c>
      <c r="AH332" s="9">
        <v>13.82399748343528</v>
      </c>
      <c r="AI332" s="9">
        <v>8.7642924455516731</v>
      </c>
      <c r="AJ332" s="9">
        <v>2.5097166958436499</v>
      </c>
      <c r="AK332" s="9">
        <v>0.75036947147398592</v>
      </c>
      <c r="AL332" s="9">
        <v>1.5936257978248523</v>
      </c>
      <c r="AM332" s="9">
        <v>6.0769163984434531</v>
      </c>
      <c r="AN332" s="9">
        <v>9.1141539826032467</v>
      </c>
      <c r="AO332" s="9">
        <v>9.6396389345846565</v>
      </c>
      <c r="AP332" s="9">
        <v>6.3655189496789824</v>
      </c>
      <c r="AQ332" s="9">
        <v>6.1693691273678741</v>
      </c>
      <c r="AR332" s="9">
        <v>1.2804962002276958</v>
      </c>
      <c r="AS332" s="9">
        <v>6.0474588236185625</v>
      </c>
      <c r="AT332" s="9">
        <v>9.3018243611700235</v>
      </c>
      <c r="AU332" s="9">
        <v>14.067307150578397</v>
      </c>
      <c r="AV332" s="9">
        <v>8.84186564127309</v>
      </c>
      <c r="AW332" s="9">
        <v>2.4669912067152446</v>
      </c>
      <c r="AX332" s="9">
        <v>0.6558865746188367</v>
      </c>
      <c r="AY332" s="9">
        <v>1.5989806648432345</v>
      </c>
      <c r="AZ332" s="9">
        <v>6.1383649742062731</v>
      </c>
      <c r="BA332" s="9">
        <v>9.2517150302674889</v>
      </c>
      <c r="BB332" s="9">
        <v>9.7560789519885045</v>
      </c>
      <c r="BC332" s="9">
        <v>6.3796953596867247</v>
      </c>
      <c r="BD332" s="9">
        <v>6.1793195930226794</v>
      </c>
    </row>
    <row r="333" spans="3:56" x14ac:dyDescent="0.25">
      <c r="C333" s="111">
        <v>34.266800000000003</v>
      </c>
      <c r="F333" s="111">
        <v>10.032</v>
      </c>
      <c r="G333" s="112">
        <v>230</v>
      </c>
      <c r="J333" s="111">
        <v>2279.15</v>
      </c>
      <c r="K333" s="111">
        <v>2240.13</v>
      </c>
      <c r="L333" s="91">
        <v>7.6339974607862899</v>
      </c>
      <c r="M333" s="12">
        <v>1069.3642893353272</v>
      </c>
      <c r="N333" s="11">
        <v>47.071552941751705</v>
      </c>
      <c r="O333" s="11">
        <v>2135.7534013565291</v>
      </c>
      <c r="P333" s="11">
        <v>57.305045701719237</v>
      </c>
      <c r="Q333" s="11">
        <v>1.3142890419817734</v>
      </c>
      <c r="R333" s="11">
        <v>0.83726674197745121</v>
      </c>
      <c r="S333" s="13">
        <v>18.220076209267045</v>
      </c>
      <c r="T333" s="14">
        <v>1027.4136230298495</v>
      </c>
      <c r="U333" s="91">
        <v>7.7166986233133681</v>
      </c>
      <c r="V333" s="12">
        <v>873.22383029054708</v>
      </c>
      <c r="W333" s="11">
        <v>45.719100905132265</v>
      </c>
      <c r="X333" s="11">
        <v>2138.5487702140417</v>
      </c>
      <c r="Y333" s="11">
        <v>55.86212888082612</v>
      </c>
      <c r="Z333" s="11">
        <v>1.3386734109562213</v>
      </c>
      <c r="AA333" s="11">
        <v>0.84423374189580014</v>
      </c>
      <c r="AB333" s="13">
        <v>18.587391196312499</v>
      </c>
      <c r="AC333" s="14">
        <v>1027.0940855188469</v>
      </c>
      <c r="AD333" s="15">
        <v>4</v>
      </c>
      <c r="AE333" s="9">
        <v>1.3563671506587114</v>
      </c>
      <c r="AF333" s="9">
        <v>5.977204880492839</v>
      </c>
      <c r="AG333" s="9">
        <v>9.2053557042473546</v>
      </c>
      <c r="AH333" s="9">
        <v>13.829374083260728</v>
      </c>
      <c r="AI333" s="9">
        <v>8.7626047619495822</v>
      </c>
      <c r="AJ333" s="9">
        <v>2.5052424120259342</v>
      </c>
      <c r="AK333" s="9">
        <v>0.74267437721290219</v>
      </c>
      <c r="AL333" s="9">
        <v>1.591582975715859</v>
      </c>
      <c r="AM333" s="9">
        <v>6.0754909376391275</v>
      </c>
      <c r="AN333" s="9">
        <v>9.1174403082509343</v>
      </c>
      <c r="AO333" s="9">
        <v>9.640042111833143</v>
      </c>
      <c r="AP333" s="9">
        <v>6.3575063924322261</v>
      </c>
      <c r="AQ333" s="9">
        <v>6.1616793459404704</v>
      </c>
      <c r="AR333" s="9">
        <v>1.2810278979681602</v>
      </c>
      <c r="AS333" s="9">
        <v>6.0466771455313504</v>
      </c>
      <c r="AT333" s="9">
        <v>9.2997002997790901</v>
      </c>
      <c r="AU333" s="9">
        <v>14.066013226005479</v>
      </c>
      <c r="AV333" s="9">
        <v>8.840744558637768</v>
      </c>
      <c r="AW333" s="9">
        <v>2.4653339100040963</v>
      </c>
      <c r="AX333" s="9">
        <v>0.65357165040469423</v>
      </c>
      <c r="AY333" s="9">
        <v>1.598480193390889</v>
      </c>
      <c r="AZ333" s="9">
        <v>6.1374354515806768</v>
      </c>
      <c r="BA333" s="9">
        <v>9.2531358779806983</v>
      </c>
      <c r="BB333" s="9">
        <v>9.7556242296345275</v>
      </c>
      <c r="BC333" s="9">
        <v>6.3765655236825891</v>
      </c>
      <c r="BD333" s="9">
        <v>6.1763535920886117</v>
      </c>
    </row>
    <row r="334" spans="3:56" x14ac:dyDescent="0.25">
      <c r="C334" s="111">
        <v>34.3414</v>
      </c>
      <c r="F334" s="111">
        <v>9.4030000000000005</v>
      </c>
      <c r="G334" s="112">
        <v>320</v>
      </c>
      <c r="J334" s="111">
        <v>2288.09</v>
      </c>
      <c r="K334" s="111">
        <v>2259.1999999999998</v>
      </c>
      <c r="L334" s="91">
        <v>7.6047166931176911</v>
      </c>
      <c r="M334" s="12">
        <v>1138.0316883115381</v>
      </c>
      <c r="N334" s="11">
        <v>51.129402937095222</v>
      </c>
      <c r="O334" s="11">
        <v>2154.9329602994585</v>
      </c>
      <c r="P334" s="11">
        <v>53.137636763446146</v>
      </c>
      <c r="Q334" s="11">
        <v>1.1975796963450087</v>
      </c>
      <c r="R334" s="11">
        <v>0.76303581211698823</v>
      </c>
      <c r="S334" s="13">
        <v>18.468373454046738</v>
      </c>
      <c r="T334" s="14">
        <v>1027.9859365275843</v>
      </c>
      <c r="U334" s="91">
        <v>7.6813831049260726</v>
      </c>
      <c r="V334" s="12">
        <v>955.25400643609987</v>
      </c>
      <c r="W334" s="11">
        <v>49.991951565591961</v>
      </c>
      <c r="X334" s="11">
        <v>2157.169259841382</v>
      </c>
      <c r="Y334" s="11">
        <v>52.038788593025942</v>
      </c>
      <c r="Z334" s="11">
        <v>1.2465457224080994</v>
      </c>
      <c r="AA334" s="11">
        <v>0.78623726069646105</v>
      </c>
      <c r="AB334" s="13">
        <v>18.78444560115242</v>
      </c>
      <c r="AC334" s="14">
        <v>1027.1532311880721</v>
      </c>
      <c r="AD334" s="15">
        <v>4</v>
      </c>
      <c r="AE334" s="9">
        <v>1.3474836337999947</v>
      </c>
      <c r="AF334" s="9">
        <v>5.9799536505472064</v>
      </c>
      <c r="AG334" s="9">
        <v>9.2127482212306919</v>
      </c>
      <c r="AH334" s="9">
        <v>13.853682813756407</v>
      </c>
      <c r="AI334" s="9">
        <v>8.765578673285761</v>
      </c>
      <c r="AJ334" s="9">
        <v>2.4975781587569776</v>
      </c>
      <c r="AK334" s="9">
        <v>0.72724402762666185</v>
      </c>
      <c r="AL334" s="9">
        <v>1.589139883039828</v>
      </c>
      <c r="AM334" s="9">
        <v>6.0777782051481655</v>
      </c>
      <c r="AN334" s="9">
        <v>9.1290950596744391</v>
      </c>
      <c r="AO334" s="9">
        <v>9.6477540554635279</v>
      </c>
      <c r="AP334" s="9">
        <v>6.3489661110565221</v>
      </c>
      <c r="AQ334" s="9">
        <v>6.1532066081407297</v>
      </c>
      <c r="AR334" s="9">
        <v>1.2812187769452474</v>
      </c>
      <c r="AS334" s="9">
        <v>6.0463989729581122</v>
      </c>
      <c r="AT334" s="9">
        <v>9.2989401496906954</v>
      </c>
      <c r="AU334" s="9">
        <v>14.065550744273839</v>
      </c>
      <c r="AV334" s="9">
        <v>8.8403439792682619</v>
      </c>
      <c r="AW334" s="9">
        <v>2.4647401045174204</v>
      </c>
      <c r="AX334" s="9">
        <v>0.65273587467320016</v>
      </c>
      <c r="AY334" s="9">
        <v>1.5983022839602261</v>
      </c>
      <c r="AZ334" s="9">
        <v>6.1371062105371186</v>
      </c>
      <c r="BA334" s="9">
        <v>9.2536623793294517</v>
      </c>
      <c r="BB334" s="9">
        <v>9.7554624948845774</v>
      </c>
      <c r="BC334" s="9">
        <v>6.37544495703776</v>
      </c>
      <c r="BD334" s="9">
        <v>6.1752903659853615</v>
      </c>
    </row>
    <row r="335" spans="3:56" x14ac:dyDescent="0.25">
      <c r="C335" s="111">
        <v>34.2988</v>
      </c>
      <c r="F335" s="111">
        <v>7.2469999999999999</v>
      </c>
      <c r="G335" s="112">
        <v>515</v>
      </c>
      <c r="J335" s="111">
        <v>2305.96</v>
      </c>
      <c r="K335" s="111">
        <v>2296.5</v>
      </c>
      <c r="L335" s="91">
        <v>7.5620400555024885</v>
      </c>
      <c r="M335" s="12">
        <v>1230.8108995173936</v>
      </c>
      <c r="N335" s="11">
        <v>59.518185535823584</v>
      </c>
      <c r="O335" s="11">
        <v>2191.4740388044952</v>
      </c>
      <c r="P335" s="11">
        <v>45.507775659681023</v>
      </c>
      <c r="Q335" s="11">
        <v>0.98687633345771519</v>
      </c>
      <c r="R335" s="11">
        <v>0.62814160596893642</v>
      </c>
      <c r="S335" s="13">
        <v>18.831640551150489</v>
      </c>
      <c r="T335" s="14">
        <v>1029.1813991959402</v>
      </c>
      <c r="U335" s="91">
        <v>7.6154440846000622</v>
      </c>
      <c r="V335" s="12">
        <v>1129.9450854690951</v>
      </c>
      <c r="W335" s="11">
        <v>59.149021055445168</v>
      </c>
      <c r="X335" s="11">
        <v>2191.9668514006303</v>
      </c>
      <c r="Y335" s="11">
        <v>45.384127543924592</v>
      </c>
      <c r="Z335" s="11">
        <v>1.087390801142762</v>
      </c>
      <c r="AA335" s="11">
        <v>0.68580147551471571</v>
      </c>
      <c r="AB335" s="13">
        <v>18.937118129693729</v>
      </c>
      <c r="AC335" s="14">
        <v>1027.1194561153241</v>
      </c>
      <c r="AD335" s="15">
        <v>4</v>
      </c>
      <c r="AE335" s="9">
        <v>1.3155416506216577</v>
      </c>
      <c r="AF335" s="9">
        <v>5.9959534082222579</v>
      </c>
      <c r="AG335" s="9">
        <v>9.2446907772015017</v>
      </c>
      <c r="AH335" s="9">
        <v>13.94403363969321</v>
      </c>
      <c r="AI335" s="9">
        <v>8.7833985429274808</v>
      </c>
      <c r="AJ335" s="9">
        <v>2.4755704284098661</v>
      </c>
      <c r="AK335" s="9">
        <v>0.68020598498899765</v>
      </c>
      <c r="AL335" s="9">
        <v>1.5844792995429482</v>
      </c>
      <c r="AM335" s="9">
        <v>6.0920178049768241</v>
      </c>
      <c r="AN335" s="9">
        <v>9.1727434479500989</v>
      </c>
      <c r="AO335" s="9">
        <v>9.6812523591235831</v>
      </c>
      <c r="AP335" s="9">
        <v>6.3327801184088628</v>
      </c>
      <c r="AQ335" s="9">
        <v>6.1365749447915015</v>
      </c>
      <c r="AR335" s="9">
        <v>1.2811097763497525</v>
      </c>
      <c r="AS335" s="9">
        <v>6.0465576637137026</v>
      </c>
      <c r="AT335" s="9">
        <v>9.2993740756638452</v>
      </c>
      <c r="AU335" s="9">
        <v>14.06581471114046</v>
      </c>
      <c r="AV335" s="9">
        <v>8.8405726064078536</v>
      </c>
      <c r="AW335" s="9">
        <v>2.4650791195694586</v>
      </c>
      <c r="AX335" s="9">
        <v>0.65321344866788678</v>
      </c>
      <c r="AY335" s="9">
        <v>1.598403764909099</v>
      </c>
      <c r="AZ335" s="9">
        <v>6.1372939348057098</v>
      </c>
      <c r="BA335" s="9">
        <v>9.253360664383953</v>
      </c>
      <c r="BB335" s="9">
        <v>9.7555547554316959</v>
      </c>
      <c r="BC335" s="9">
        <v>6.3760846563859683</v>
      </c>
      <c r="BD335" s="9">
        <v>6.1758974168214031</v>
      </c>
    </row>
  </sheetData>
  <mergeCells count="6">
    <mergeCell ref="A6:K6"/>
    <mergeCell ref="U6:AA6"/>
    <mergeCell ref="N7:P7"/>
    <mergeCell ref="Q7:R7"/>
    <mergeCell ref="W7:Y7"/>
    <mergeCell ref="Z7:AA7"/>
  </mergeCells>
  <phoneticPr fontId="18" type="noConversion"/>
  <dataValidations count="7">
    <dataValidation type="list" allowBlank="1" showInputMessage="1" showErrorMessage="1" sqref="C3" xr:uid="{00000000-0002-0000-0100-000000000000}">
      <formula1>WhichKsList</formula1>
    </dataValidation>
    <dataValidation type="list" allowBlank="1" showInputMessage="1" showErrorMessage="1" sqref="C4" xr:uid="{00000000-0002-0000-0100-000001000000}">
      <formula1>"Dickson,Khoo et al"</formula1>
    </dataValidation>
    <dataValidation type="list" allowBlank="1" showInputMessage="1" showErrorMessage="1" sqref="F3" xr:uid="{00000000-0002-0000-0100-000002000000}">
      <formula1>"fCO2,pCO2"</formula1>
    </dataValidation>
    <dataValidation type="list" allowBlank="1" showInputMessage="1" showErrorMessage="1" sqref="F4" xr:uid="{00000000-0002-0000-0100-000003000000}">
      <formula1>"NBS scale,free scale,total scale,seawater scale"</formula1>
    </dataValidation>
    <dataValidation type="list" allowBlank="1" showInputMessage="1" showErrorMessage="1" sqref="J3" xr:uid="{00000000-0002-0000-0100-000004000000}">
      <formula1>"GIVEN TA TC,GIVEN TA pH,GIVEN TA fCO2,GIVEN TC pH,GIVEN TC fCO2,GIVEN pH fCO2"</formula1>
    </dataValidation>
    <dataValidation type="list" allowBlank="1" showInputMessage="1" showErrorMessage="1" sqref="L3" xr:uid="{00000000-0002-0000-0100-000005000000}">
      <formula1>"Uppstrom 1974,Lee et al 2010"</formula1>
    </dataValidation>
    <dataValidation type="list" allowBlank="1" showInputMessage="1" showErrorMessage="1" sqref="L4" xr:uid="{00000000-0002-0000-0100-000006000000}">
      <formula1>"Dickson &amp; Riley 1979,Perez &amp; Fraga 1987,seacarb"</formula1>
    </dataValidation>
  </dataValidations>
  <printOptions horizontalCentered="1" verticalCentered="1"/>
  <pageMargins left="0.75" right="0.75" top="1" bottom="1" header="0.5" footer="0.5"/>
  <pageSetup scale="53" fitToHeight="10" orientation="landscape" r:id="rId1"/>
  <headerFooter alignWithMargins="0">
    <oddFooter>&amp;C&amp;F/&amp;A, &amp;D
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460" r:id="rId4" name="Button 172">
              <controlPr defaultSize="0" print="0" autoFill="0" autoPict="0" macro="[0]!reset">
                <anchor moveWithCells="1" sizeWithCells="1">
                  <from>
                    <xdr:col>9</xdr:col>
                    <xdr:colOff>0</xdr:colOff>
                    <xdr:row>3</xdr:row>
                    <xdr:rowOff>45720</xdr:rowOff>
                  </from>
                  <to>
                    <xdr:col>9</xdr:col>
                    <xdr:colOff>1028700</xdr:colOff>
                    <xdr:row>4</xdr:row>
                    <xdr:rowOff>76200</xdr:rowOff>
                  </to>
                </anchor>
              </controlPr>
            </control>
          </mc:Choice>
        </mc:AlternateContent>
        <mc:AlternateContent xmlns:mc="http://schemas.openxmlformats.org/markup-compatibility/2006">
          <mc:Choice Requires="x14">
            <control shapeId="12480" r:id="rId5" name="Button 192">
              <controlPr defaultSize="0" print="0" autoFill="0" autoPict="0" macro="[0]!calc">
                <anchor moveWithCells="1" sizeWithCells="1">
                  <from>
                    <xdr:col>0</xdr:col>
                    <xdr:colOff>106680</xdr:colOff>
                    <xdr:row>2</xdr:row>
                    <xdr:rowOff>22860</xdr:rowOff>
                  </from>
                  <to>
                    <xdr:col>1</xdr:col>
                    <xdr:colOff>373380</xdr:colOff>
                    <xdr:row>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18"/>
  <sheetViews>
    <sheetView showGridLines="0" workbookViewId="0">
      <selection activeCell="B4" sqref="B4"/>
    </sheetView>
  </sheetViews>
  <sheetFormatPr defaultRowHeight="13.2" x14ac:dyDescent="0.25"/>
  <cols>
    <col min="1" max="1" width="44.109375" customWidth="1"/>
    <col min="2" max="2" width="9.109375" style="9"/>
    <col min="3" max="3" width="11.33203125" customWidth="1"/>
  </cols>
  <sheetData>
    <row r="1" spans="1:3" ht="13.8" x14ac:dyDescent="0.3">
      <c r="A1" s="57" t="s">
        <v>1031</v>
      </c>
      <c r="B1" s="58"/>
      <c r="C1" s="57"/>
    </row>
    <row r="3" spans="1:3" x14ac:dyDescent="0.25">
      <c r="A3" s="59" t="s">
        <v>1032</v>
      </c>
      <c r="B3" s="60" t="s">
        <v>1033</v>
      </c>
      <c r="C3" s="61" t="s">
        <v>1034</v>
      </c>
    </row>
    <row r="4" spans="1:3" x14ac:dyDescent="0.25">
      <c r="A4" s="62" t="s">
        <v>1035</v>
      </c>
      <c r="B4" s="63" t="s">
        <v>1224</v>
      </c>
      <c r="C4" s="64"/>
    </row>
    <row r="5" spans="1:3" x14ac:dyDescent="0.25">
      <c r="A5" s="122" t="s">
        <v>1036</v>
      </c>
      <c r="B5" s="123"/>
      <c r="C5" s="124"/>
    </row>
    <row r="6" spans="1:3" x14ac:dyDescent="0.25">
      <c r="A6" s="62" t="s">
        <v>1037</v>
      </c>
      <c r="B6" s="65">
        <v>-999</v>
      </c>
      <c r="C6" s="64"/>
    </row>
    <row r="7" spans="1:3" x14ac:dyDescent="0.25">
      <c r="A7" s="62" t="s">
        <v>1038</v>
      </c>
      <c r="B7" s="65">
        <v>2300</v>
      </c>
      <c r="C7" s="64" t="s">
        <v>1039</v>
      </c>
    </row>
    <row r="8" spans="1:3" x14ac:dyDescent="0.25">
      <c r="A8" s="62" t="s">
        <v>1040</v>
      </c>
      <c r="B8" s="65">
        <v>2100</v>
      </c>
      <c r="C8" s="64" t="s">
        <v>1039</v>
      </c>
    </row>
    <row r="9" spans="1:3" x14ac:dyDescent="0.25">
      <c r="A9" s="62" t="s">
        <v>1041</v>
      </c>
      <c r="B9" s="65">
        <v>7.9</v>
      </c>
      <c r="C9" s="64"/>
    </row>
    <row r="10" spans="1:3" x14ac:dyDescent="0.25">
      <c r="A10" s="62" t="s">
        <v>1042</v>
      </c>
      <c r="B10" s="65">
        <v>600</v>
      </c>
      <c r="C10" s="64" t="s">
        <v>1043</v>
      </c>
    </row>
    <row r="11" spans="1:3" x14ac:dyDescent="0.25">
      <c r="A11" s="62" t="s">
        <v>1044</v>
      </c>
      <c r="B11" s="65">
        <v>600</v>
      </c>
      <c r="C11" s="64" t="s">
        <v>1043</v>
      </c>
    </row>
    <row r="12" spans="1:3" x14ac:dyDescent="0.25">
      <c r="A12" s="62" t="s">
        <v>1045</v>
      </c>
      <c r="B12" s="65">
        <v>35</v>
      </c>
      <c r="C12" s="64" t="s">
        <v>1046</v>
      </c>
    </row>
    <row r="13" spans="1:3" x14ac:dyDescent="0.25">
      <c r="A13" s="62" t="s">
        <v>1047</v>
      </c>
      <c r="B13" s="65">
        <v>0</v>
      </c>
      <c r="C13" s="64" t="s">
        <v>1039</v>
      </c>
    </row>
    <row r="14" spans="1:3" x14ac:dyDescent="0.25">
      <c r="A14" s="62" t="s">
        <v>1048</v>
      </c>
      <c r="B14" s="65">
        <v>0</v>
      </c>
      <c r="C14" s="64" t="s">
        <v>1039</v>
      </c>
    </row>
    <row r="15" spans="1:3" x14ac:dyDescent="0.25">
      <c r="A15" s="62" t="s">
        <v>1049</v>
      </c>
      <c r="B15" s="65">
        <v>20</v>
      </c>
      <c r="C15" s="64" t="s">
        <v>1050</v>
      </c>
    </row>
    <row r="16" spans="1:3" x14ac:dyDescent="0.25">
      <c r="A16" s="62" t="s">
        <v>1051</v>
      </c>
      <c r="B16" s="65">
        <v>0</v>
      </c>
      <c r="C16" s="64" t="s">
        <v>1052</v>
      </c>
    </row>
    <row r="17" spans="1:3" x14ac:dyDescent="0.25">
      <c r="A17" s="62" t="s">
        <v>1053</v>
      </c>
      <c r="B17" s="65">
        <v>5</v>
      </c>
      <c r="C17" s="64" t="s">
        <v>1050</v>
      </c>
    </row>
    <row r="18" spans="1:3" x14ac:dyDescent="0.25">
      <c r="A18" s="62" t="s">
        <v>1054</v>
      </c>
      <c r="B18" s="65">
        <v>0</v>
      </c>
      <c r="C18" s="64" t="s">
        <v>1052</v>
      </c>
    </row>
  </sheetData>
  <mergeCells count="1">
    <mergeCell ref="A5:C5"/>
  </mergeCells>
  <phoneticPr fontId="18" type="noConversion"/>
  <dataValidations count="1">
    <dataValidation type="list" allowBlank="1" showInputMessage="1" showErrorMessage="1" sqref="B4" xr:uid="{00000000-0002-0000-0200-000000000000}">
      <formula1>"Yes,No"</formula1>
    </dataValidation>
  </dataValidations>
  <pageMargins left="0.75" right="0.75" top="1" bottom="1" header="0.5" footer="0.5"/>
  <pageSetup orientation="portrait" verticalDpi="0"/>
  <headerFooter alignWithMargins="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16"/>
  <sheetViews>
    <sheetView showGridLines="0" workbookViewId="0"/>
  </sheetViews>
  <sheetFormatPr defaultRowHeight="13.2" x14ac:dyDescent="0.25"/>
  <cols>
    <col min="1" max="1" width="26.5546875" bestFit="1" customWidth="1"/>
  </cols>
  <sheetData>
    <row r="1" spans="1:1" x14ac:dyDescent="0.25">
      <c r="A1" t="s">
        <v>1186</v>
      </c>
    </row>
    <row r="2" spans="1:1" x14ac:dyDescent="0.25">
      <c r="A2" t="s">
        <v>1187</v>
      </c>
    </row>
    <row r="3" spans="1:1" x14ac:dyDescent="0.25">
      <c r="A3" t="s">
        <v>1188</v>
      </c>
    </row>
    <row r="4" spans="1:1" x14ac:dyDescent="0.25">
      <c r="A4" t="s">
        <v>1189</v>
      </c>
    </row>
    <row r="5" spans="1:1" x14ac:dyDescent="0.25">
      <c r="A5" t="s">
        <v>1190</v>
      </c>
    </row>
    <row r="6" spans="1:1" x14ac:dyDescent="0.25">
      <c r="A6" t="s">
        <v>1191</v>
      </c>
    </row>
    <row r="7" spans="1:1" x14ac:dyDescent="0.25">
      <c r="A7" t="s">
        <v>1192</v>
      </c>
    </row>
    <row r="8" spans="1:1" x14ac:dyDescent="0.25">
      <c r="A8" t="s">
        <v>1193</v>
      </c>
    </row>
    <row r="9" spans="1:1" x14ac:dyDescent="0.25">
      <c r="A9" t="s">
        <v>1194</v>
      </c>
    </row>
    <row r="10" spans="1:1" x14ac:dyDescent="0.25">
      <c r="A10" t="s">
        <v>1195</v>
      </c>
    </row>
    <row r="11" spans="1:1" x14ac:dyDescent="0.25">
      <c r="A11" t="s">
        <v>1133</v>
      </c>
    </row>
    <row r="12" spans="1:1" x14ac:dyDescent="0.25">
      <c r="A12" t="s">
        <v>1196</v>
      </c>
    </row>
    <row r="13" spans="1:1" x14ac:dyDescent="0.25">
      <c r="A13" t="s">
        <v>1197</v>
      </c>
    </row>
    <row r="14" spans="1:1" x14ac:dyDescent="0.25">
      <c r="A14" t="s">
        <v>1198</v>
      </c>
    </row>
    <row r="15" spans="1:1" x14ac:dyDescent="0.25">
      <c r="A15" t="s">
        <v>1199</v>
      </c>
    </row>
    <row r="16" spans="1:1" x14ac:dyDescent="0.25">
      <c r="A16" t="s">
        <v>1200</v>
      </c>
    </row>
  </sheetData>
  <phoneticPr fontId="2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2</vt:i4>
      </vt:variant>
    </vt:vector>
  </HeadingPairs>
  <TitlesOfParts>
    <vt:vector size="6" baseType="lpstr">
      <vt:lpstr>readme</vt:lpstr>
      <vt:lpstr>co2sys</vt:lpstr>
      <vt:lpstr>defaults</vt:lpstr>
      <vt:lpstr>WhichKs list</vt:lpstr>
      <vt:lpstr>co2sys!Print_Titles</vt:lpstr>
      <vt:lpstr>WhichKsList</vt:lpstr>
    </vt:vector>
  </TitlesOfParts>
  <Company>Dept of Ecology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State of Washington</dc:creator>
  <cp:lastModifiedBy>丰丰同学</cp:lastModifiedBy>
  <cp:lastPrinted>2007-11-07T17:47:38Z</cp:lastPrinted>
  <dcterms:created xsi:type="dcterms:W3CDTF">2002-08-22T18:32:43Z</dcterms:created>
  <dcterms:modified xsi:type="dcterms:W3CDTF">2022-02-26T11:30:07Z</dcterms:modified>
</cp:coreProperties>
</file>